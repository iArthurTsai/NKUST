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3\ch13程式\ch13習題\"/>
    </mc:Choice>
  </mc:AlternateContent>
  <bookViews>
    <workbookView xWindow="0" yWindow="0" windowWidth="20490" windowHeight="7620"/>
  </bookViews>
  <sheets>
    <sheet name="電影" sheetId="1" r:id="rId1"/>
    <sheet name="資料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0" i="1"/>
  <c r="C9" i="1"/>
  <c r="C12" i="1" l="1"/>
</calcChain>
</file>

<file path=xl/sharedStrings.xml><?xml version="1.0" encoding="utf-8"?>
<sst xmlns="http://schemas.openxmlformats.org/spreadsheetml/2006/main" count="34" uniqueCount="34">
  <si>
    <t>龍廳</t>
    <phoneticPr fontId="1" type="noConversion"/>
  </si>
  <si>
    <t>鳳廳</t>
    <phoneticPr fontId="1" type="noConversion"/>
  </si>
  <si>
    <t>金廳</t>
    <phoneticPr fontId="1" type="noConversion"/>
  </si>
  <si>
    <t>銀廳</t>
    <phoneticPr fontId="1" type="noConversion"/>
  </si>
  <si>
    <t>片名</t>
    <phoneticPr fontId="1" type="noConversion"/>
  </si>
  <si>
    <t>片長</t>
    <phoneticPr fontId="1" type="noConversion"/>
  </si>
  <si>
    <t>票價</t>
    <phoneticPr fontId="1" type="noConversion"/>
  </si>
  <si>
    <t>場次</t>
    <phoneticPr fontId="1" type="noConversion"/>
  </si>
  <si>
    <t>我的少男時代</t>
    <phoneticPr fontId="1" type="noConversion"/>
  </si>
  <si>
    <t>掘地救援</t>
    <phoneticPr fontId="1" type="noConversion"/>
  </si>
  <si>
    <t>圖檔</t>
    <phoneticPr fontId="1" type="noConversion"/>
  </si>
  <si>
    <t>boy.jpg</t>
    <phoneticPr fontId="1" type="noConversion"/>
  </si>
  <si>
    <t>yi.jpg</t>
    <phoneticPr fontId="1" type="noConversion"/>
  </si>
  <si>
    <t>start.jpg</t>
    <phoneticPr fontId="1" type="noConversion"/>
  </si>
  <si>
    <t>sos.jpg</t>
    <phoneticPr fontId="1" type="noConversion"/>
  </si>
  <si>
    <t>電影查詢</t>
    <phoneticPr fontId="1" type="noConversion"/>
  </si>
  <si>
    <t>廳別：</t>
    <phoneticPr fontId="1" type="noConversion"/>
  </si>
  <si>
    <t>片名：</t>
    <phoneticPr fontId="1" type="noConversion"/>
  </si>
  <si>
    <t>片長：</t>
    <phoneticPr fontId="1" type="noConversion"/>
  </si>
  <si>
    <t>場次：</t>
    <phoneticPr fontId="1" type="noConversion"/>
  </si>
  <si>
    <t>票價：</t>
    <phoneticPr fontId="1" type="noConversion"/>
  </si>
  <si>
    <t>葉門</t>
    <phoneticPr fontId="1" type="noConversion"/>
  </si>
  <si>
    <t>START WARS</t>
    <phoneticPr fontId="1" type="noConversion"/>
  </si>
  <si>
    <t>張數</t>
    <phoneticPr fontId="1" type="noConversion"/>
  </si>
  <si>
    <t>小計</t>
    <phoneticPr fontId="1" type="noConversion"/>
  </si>
  <si>
    <t>全票</t>
    <phoneticPr fontId="1" type="noConversion"/>
  </si>
  <si>
    <t>優待票</t>
    <phoneticPr fontId="1" type="noConversion"/>
  </si>
  <si>
    <t>會員票</t>
    <phoneticPr fontId="1" type="noConversion"/>
  </si>
  <si>
    <t>合計</t>
    <phoneticPr fontId="1" type="noConversion"/>
  </si>
  <si>
    <t>類別</t>
    <phoneticPr fontId="1" type="noConversion"/>
  </si>
  <si>
    <t>銀廳</t>
    <phoneticPr fontId="1" type="noConversion"/>
  </si>
  <si>
    <t>掘地救援</t>
    <phoneticPr fontId="1" type="noConversion"/>
  </si>
  <si>
    <t>144分鐘</t>
    <phoneticPr fontId="1" type="noConversion"/>
  </si>
  <si>
    <t>320元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</si>
</sst>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h:mm;@"/>
  </numFmts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.4"/>
      <color rgb="FF606060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20" fontId="0" fillId="0" borderId="0" xfId="0" applyNumberFormat="1">
      <alignment vertical="center"/>
    </xf>
    <xf numFmtId="20" fontId="2" fillId="0" borderId="0" xfId="0" applyNumberFormat="1" applyFont="1" applyAlignment="1">
      <alignment horizontal="left" vertical="center" wrapText="1" indent="1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2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381000</xdr:rowOff>
        </xdr:from>
        <xdr:to>
          <xdr:col>2</xdr:col>
          <xdr:colOff>190500</xdr:colOff>
          <xdr:row>1</xdr:row>
          <xdr:rowOff>295275</xdr:rowOff>
        </xdr:to>
        <xdr:sp macro="" textlink="">
          <xdr:nvSpPr>
            <xdr:cNvPr id="2049" name="spnRoo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180975</xdr:colOff>
          <xdr:row>6</xdr:row>
          <xdr:rowOff>38100</xdr:rowOff>
        </xdr:to>
        <xdr:sp macro="" textlink="">
          <xdr:nvSpPr>
            <xdr:cNvPr id="2050" name="spnTim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0</xdr:row>
          <xdr:rowOff>85725</xdr:rowOff>
        </xdr:from>
        <xdr:to>
          <xdr:col>4</xdr:col>
          <xdr:colOff>514350</xdr:colOff>
          <xdr:row>5</xdr:row>
          <xdr:rowOff>276225</xdr:rowOff>
        </xdr:to>
        <xdr:sp macro="" textlink="">
          <xdr:nvSpPr>
            <xdr:cNvPr id="2051" name="imgMovi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38100</xdr:rowOff>
        </xdr:from>
        <xdr:to>
          <xdr:col>1</xdr:col>
          <xdr:colOff>190500</xdr:colOff>
          <xdr:row>8</xdr:row>
          <xdr:rowOff>361950</xdr:rowOff>
        </xdr:to>
        <xdr:sp macro="" textlink="">
          <xdr:nvSpPr>
            <xdr:cNvPr id="2052" name="spnT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19050</xdr:rowOff>
        </xdr:from>
        <xdr:to>
          <xdr:col>1</xdr:col>
          <xdr:colOff>200025</xdr:colOff>
          <xdr:row>9</xdr:row>
          <xdr:rowOff>342900</xdr:rowOff>
        </xdr:to>
        <xdr:sp macro="" textlink="">
          <xdr:nvSpPr>
            <xdr:cNvPr id="2053" name="spnT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47625</xdr:rowOff>
        </xdr:from>
        <xdr:to>
          <xdr:col>1</xdr:col>
          <xdr:colOff>190500</xdr:colOff>
          <xdr:row>10</xdr:row>
          <xdr:rowOff>371475</xdr:rowOff>
        </xdr:to>
        <xdr:sp macro="" textlink="">
          <xdr:nvSpPr>
            <xdr:cNvPr id="2054" name="spnT3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10" Type="http://schemas.openxmlformats.org/officeDocument/2006/relationships/image" Target="../media/image2.emf"/><Relationship Id="rId4" Type="http://schemas.openxmlformats.org/officeDocument/2006/relationships/image" Target="../media/image1.emf"/><Relationship Id="rId9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C12"/>
  <sheetViews>
    <sheetView tabSelected="1" workbookViewId="0">
      <selection activeCell="L5" sqref="L5"/>
    </sheetView>
  </sheetViews>
  <sheetFormatPr defaultRowHeight="16.5"/>
  <cols>
    <col min="2" max="2" width="16.75" customWidth="1"/>
    <col min="3" max="3" width="9.5" bestFit="1" customWidth="1"/>
    <col min="5" max="5" width="9.5" bestFit="1" customWidth="1"/>
  </cols>
  <sheetData>
    <row r="1" spans="1:3" ht="32.25" customHeight="1">
      <c r="B1" t="s">
        <v>15</v>
      </c>
    </row>
    <row r="2" spans="1:3" ht="24" customHeight="1">
      <c r="A2" s="5" t="s">
        <v>16</v>
      </c>
      <c r="B2" s="3" t="s">
        <v>30</v>
      </c>
    </row>
    <row r="3" spans="1:3" ht="24" customHeight="1">
      <c r="A3" s="5" t="s">
        <v>17</v>
      </c>
      <c r="B3" s="3" t="s">
        <v>31</v>
      </c>
    </row>
    <row r="4" spans="1:3" ht="24" customHeight="1">
      <c r="A4" s="5" t="s">
        <v>18</v>
      </c>
      <c r="B4" s="3" t="s">
        <v>32</v>
      </c>
    </row>
    <row r="5" spans="1:3" ht="24" customHeight="1">
      <c r="A5" s="5" t="s">
        <v>20</v>
      </c>
      <c r="B5" s="3" t="s">
        <v>33</v>
      </c>
    </row>
    <row r="6" spans="1:3" ht="24" customHeight="1">
      <c r="A6" s="5" t="s">
        <v>19</v>
      </c>
      <c r="B6" s="4">
        <v>0.48958333333333331</v>
      </c>
    </row>
    <row r="8" spans="1:3">
      <c r="A8" s="5" t="s">
        <v>29</v>
      </c>
      <c r="B8" s="5" t="s">
        <v>23</v>
      </c>
      <c r="C8" s="5" t="s">
        <v>24</v>
      </c>
    </row>
    <row r="9" spans="1:3" ht="30" customHeight="1">
      <c r="A9" s="5" t="s">
        <v>25</v>
      </c>
      <c r="B9" s="3">
        <v>1</v>
      </c>
      <c r="C9" s="3">
        <f>VALUE(LEFT(B$5,3))*B9</f>
        <v>320</v>
      </c>
    </row>
    <row r="10" spans="1:3" ht="30" customHeight="1">
      <c r="A10" s="5" t="s">
        <v>26</v>
      </c>
      <c r="B10" s="3">
        <v>2</v>
      </c>
      <c r="C10" s="3">
        <f>VALUE(LEFT(B$5,3)-20)*B10</f>
        <v>600</v>
      </c>
    </row>
    <row r="11" spans="1:3" ht="30" customHeight="1">
      <c r="A11" s="5" t="s">
        <v>27</v>
      </c>
      <c r="B11" s="3">
        <v>0</v>
      </c>
      <c r="C11" s="3">
        <f>VALUE(LEFT(B$5,3)-50)*B11</f>
        <v>0</v>
      </c>
    </row>
    <row r="12" spans="1:3" ht="24" customHeight="1">
      <c r="B12" s="5" t="s">
        <v>28</v>
      </c>
      <c r="C12" s="3">
        <f>SUM(C9:C11)</f>
        <v>920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4" r:id="rId3" name="spnT3">
          <controlPr autoLine="0" linkedCell="B11" r:id="rId4">
            <anchor moveWithCells="1">
              <from>
                <xdr:col>1</xdr:col>
                <xdr:colOff>28575</xdr:colOff>
                <xdr:row>10</xdr:row>
                <xdr:rowOff>47625</xdr:rowOff>
              </from>
              <to>
                <xdr:col>1</xdr:col>
                <xdr:colOff>190500</xdr:colOff>
                <xdr:row>10</xdr:row>
                <xdr:rowOff>371475</xdr:rowOff>
              </to>
            </anchor>
          </controlPr>
        </control>
      </mc:Choice>
      <mc:Fallback>
        <control shapeId="2054" r:id="rId3" name="spnT3"/>
      </mc:Fallback>
    </mc:AlternateContent>
    <mc:AlternateContent xmlns:mc="http://schemas.openxmlformats.org/markup-compatibility/2006">
      <mc:Choice Requires="x14">
        <control shapeId="2053" r:id="rId5" name="spnT2">
          <controlPr autoLine="0" linkedCell="B10" r:id="rId4">
            <anchor moveWithCells="1">
              <from>
                <xdr:col>1</xdr:col>
                <xdr:colOff>38100</xdr:colOff>
                <xdr:row>9</xdr:row>
                <xdr:rowOff>19050</xdr:rowOff>
              </from>
              <to>
                <xdr:col>1</xdr:col>
                <xdr:colOff>200025</xdr:colOff>
                <xdr:row>9</xdr:row>
                <xdr:rowOff>342900</xdr:rowOff>
              </to>
            </anchor>
          </controlPr>
        </control>
      </mc:Choice>
      <mc:Fallback>
        <control shapeId="2053" r:id="rId5" name="spnT2"/>
      </mc:Fallback>
    </mc:AlternateContent>
    <mc:AlternateContent xmlns:mc="http://schemas.openxmlformats.org/markup-compatibility/2006">
      <mc:Choice Requires="x14">
        <control shapeId="2052" r:id="rId6" name="spnT1">
          <controlPr autoLine="0" linkedCell="B9" r:id="rId4">
            <anchor moveWithCells="1">
              <from>
                <xdr:col>1</xdr:col>
                <xdr:colOff>28575</xdr:colOff>
                <xdr:row>8</xdr:row>
                <xdr:rowOff>38100</xdr:rowOff>
              </from>
              <to>
                <xdr:col>1</xdr:col>
                <xdr:colOff>190500</xdr:colOff>
                <xdr:row>8</xdr:row>
                <xdr:rowOff>361950</xdr:rowOff>
              </to>
            </anchor>
          </controlPr>
        </control>
      </mc:Choice>
      <mc:Fallback>
        <control shapeId="2052" r:id="rId6" name="spnT1"/>
      </mc:Fallback>
    </mc:AlternateContent>
    <mc:AlternateContent xmlns:mc="http://schemas.openxmlformats.org/markup-compatibility/2006">
      <mc:Choice Requires="x14">
        <control shapeId="2049" r:id="rId7" name="spnRoom">
          <controlPr autoLine="0" r:id="rId4">
            <anchor moveWithCells="1">
              <from>
                <xdr:col>2</xdr:col>
                <xdr:colOff>28575</xdr:colOff>
                <xdr:row>0</xdr:row>
                <xdr:rowOff>381000</xdr:rowOff>
              </from>
              <to>
                <xdr:col>2</xdr:col>
                <xdr:colOff>190500</xdr:colOff>
                <xdr:row>1</xdr:row>
                <xdr:rowOff>295275</xdr:rowOff>
              </to>
            </anchor>
          </controlPr>
        </control>
      </mc:Choice>
      <mc:Fallback>
        <control shapeId="2049" r:id="rId7" name="spnRoom"/>
      </mc:Fallback>
    </mc:AlternateContent>
    <mc:AlternateContent xmlns:mc="http://schemas.openxmlformats.org/markup-compatibility/2006">
      <mc:Choice Requires="x14">
        <control shapeId="2050" r:id="rId8" name="spnTime">
          <controlPr autoLine="0" r:id="rId4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180975</xdr:colOff>
                <xdr:row>6</xdr:row>
                <xdr:rowOff>38100</xdr:rowOff>
              </to>
            </anchor>
          </controlPr>
        </control>
      </mc:Choice>
      <mc:Fallback>
        <control shapeId="2050" r:id="rId8" name="spnTime"/>
      </mc:Fallback>
    </mc:AlternateContent>
    <mc:AlternateContent xmlns:mc="http://schemas.openxmlformats.org/markup-compatibility/2006">
      <mc:Choice Requires="x14">
        <control shapeId="2051" r:id="rId9" name="imgMovie">
          <controlPr defaultSize="0" autoLine="0" autoPict="0" r:id="rId10">
            <anchor moveWithCells="1">
              <from>
                <xdr:col>2</xdr:col>
                <xdr:colOff>447675</xdr:colOff>
                <xdr:row>0</xdr:row>
                <xdr:rowOff>85725</xdr:rowOff>
              </from>
              <to>
                <xdr:col>4</xdr:col>
                <xdr:colOff>514350</xdr:colOff>
                <xdr:row>5</xdr:row>
                <xdr:rowOff>276225</xdr:rowOff>
              </to>
            </anchor>
          </controlPr>
        </control>
      </mc:Choice>
      <mc:Fallback>
        <control shapeId="2051" r:id="rId9" name="imgMovi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1"/>
  <sheetViews>
    <sheetView workbookViewId="0">
      <selection activeCell="G16" sqref="G16"/>
    </sheetView>
  </sheetViews>
  <sheetFormatPr defaultRowHeight="16.5"/>
  <cols>
    <col min="1" max="1" width="6.875" customWidth="1"/>
    <col min="3" max="3" width="13.5" customWidth="1"/>
    <col min="4" max="4" width="12.25" customWidth="1"/>
  </cols>
  <sheetData>
    <row r="1" spans="1:8">
      <c r="B1" t="s">
        <v>0</v>
      </c>
      <c r="C1" t="s">
        <v>1</v>
      </c>
      <c r="D1" t="s">
        <v>2</v>
      </c>
      <c r="E1" t="s">
        <v>3</v>
      </c>
    </row>
    <row r="2" spans="1:8">
      <c r="A2" t="s">
        <v>10</v>
      </c>
      <c r="B2" t="s">
        <v>12</v>
      </c>
      <c r="C2" t="s">
        <v>11</v>
      </c>
      <c r="D2" t="s">
        <v>13</v>
      </c>
      <c r="E2" t="s">
        <v>14</v>
      </c>
    </row>
    <row r="3" spans="1:8">
      <c r="A3" t="s">
        <v>4</v>
      </c>
      <c r="B3" t="s">
        <v>21</v>
      </c>
      <c r="C3" t="s">
        <v>8</v>
      </c>
      <c r="D3" t="s">
        <v>22</v>
      </c>
      <c r="E3" t="s">
        <v>9</v>
      </c>
    </row>
    <row r="4" spans="1:8">
      <c r="A4" t="s">
        <v>5</v>
      </c>
      <c r="B4">
        <v>121</v>
      </c>
      <c r="C4">
        <v>134</v>
      </c>
      <c r="D4">
        <v>136</v>
      </c>
      <c r="E4">
        <v>144</v>
      </c>
    </row>
    <row r="5" spans="1:8">
      <c r="A5" t="s">
        <v>6</v>
      </c>
      <c r="B5">
        <v>280</v>
      </c>
      <c r="C5">
        <v>260</v>
      </c>
      <c r="D5">
        <v>320</v>
      </c>
      <c r="E5">
        <v>320</v>
      </c>
    </row>
    <row r="6" spans="1:8">
      <c r="A6" t="s">
        <v>7</v>
      </c>
      <c r="B6" s="1">
        <v>0.40972222222222227</v>
      </c>
      <c r="C6" s="1">
        <v>0.39583333333333331</v>
      </c>
      <c r="D6" s="1">
        <v>0.38194444444444442</v>
      </c>
      <c r="E6" s="1">
        <v>0.375</v>
      </c>
      <c r="H6" s="2"/>
    </row>
    <row r="7" spans="1:8">
      <c r="B7" s="1">
        <v>0.51388888888888895</v>
      </c>
      <c r="C7" s="1">
        <v>0.5</v>
      </c>
      <c r="D7" s="1">
        <v>0.49305555555555558</v>
      </c>
      <c r="E7" s="1">
        <v>0.48958333333333331</v>
      </c>
      <c r="H7" s="2"/>
    </row>
    <row r="8" spans="1:8">
      <c r="B8" s="1">
        <v>0.61805555555555503</v>
      </c>
      <c r="C8" s="1">
        <v>0.60416666666666596</v>
      </c>
      <c r="D8" s="1">
        <v>0.60416666666666596</v>
      </c>
      <c r="E8" s="1">
        <v>0.60416666666666696</v>
      </c>
      <c r="H8" s="2"/>
    </row>
    <row r="9" spans="1:8">
      <c r="B9" s="1">
        <v>0.72222222222222199</v>
      </c>
      <c r="C9" s="1">
        <v>0.70833333333333304</v>
      </c>
      <c r="D9" s="1">
        <v>0.71527777777777701</v>
      </c>
      <c r="E9" s="1">
        <v>0.71875</v>
      </c>
      <c r="H9" s="2"/>
    </row>
    <row r="10" spans="1:8">
      <c r="B10" s="1">
        <v>0.82638888888888895</v>
      </c>
      <c r="C10" s="1">
        <v>0.8125</v>
      </c>
      <c r="D10" s="1">
        <v>0.82638888888888895</v>
      </c>
      <c r="E10" s="1">
        <v>0.83333333333333304</v>
      </c>
      <c r="H10" s="2"/>
    </row>
    <row r="11" spans="1:8">
      <c r="B11" s="1">
        <v>0.93055555555555503</v>
      </c>
      <c r="C11" s="1">
        <v>0.91666666666666596</v>
      </c>
      <c r="D11" s="1">
        <v>0.9375</v>
      </c>
      <c r="E11" s="1">
        <v>0.94791666666666696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電影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2016-01-21T08:32:16Z</dcterms:created>
  <dcterms:modified xsi:type="dcterms:W3CDTF">2016-01-22T14:09:23Z</dcterms:modified>
</cp:coreProperties>
</file>