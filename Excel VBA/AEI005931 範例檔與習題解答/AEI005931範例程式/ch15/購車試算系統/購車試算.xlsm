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5\ch15程式\購車試算系統\"/>
    </mc:Choice>
  </mc:AlternateContent>
  <bookViews>
    <workbookView xWindow="0" yWindow="0" windowWidth="20490" windowHeight="7620"/>
  </bookViews>
  <sheets>
    <sheet name="試算" sheetId="1" r:id="rId1"/>
    <sheet name="車輛資料" sheetId="2" r:id="rId2"/>
    <sheet name="賦稅資料" sheetId="3" r:id="rId3"/>
    <sheet name="紀錄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1" l="1"/>
  <c r="H9" i="1" l="1"/>
  <c r="H12" i="1" s="1"/>
</calcChain>
</file>

<file path=xl/sharedStrings.xml><?xml version="1.0" encoding="utf-8"?>
<sst xmlns="http://schemas.openxmlformats.org/spreadsheetml/2006/main" count="95" uniqueCount="78">
  <si>
    <t>車款：</t>
    <phoneticPr fontId="1" type="noConversion"/>
  </si>
  <si>
    <t>車型：</t>
    <phoneticPr fontId="1" type="noConversion"/>
  </si>
  <si>
    <t>旗艦</t>
    <phoneticPr fontId="1" type="noConversion"/>
  </si>
  <si>
    <t>豪華</t>
    <phoneticPr fontId="1" type="noConversion"/>
  </si>
  <si>
    <t>經典</t>
    <phoneticPr fontId="1" type="noConversion"/>
  </si>
  <si>
    <t>車輛用途：</t>
    <phoneticPr fontId="1" type="noConversion"/>
  </si>
  <si>
    <t>牌照稅</t>
    <phoneticPr fontId="1" type="noConversion"/>
  </si>
  <si>
    <t>燃料稅</t>
    <phoneticPr fontId="1" type="noConversion"/>
  </si>
  <si>
    <t>規費</t>
    <phoneticPr fontId="1" type="noConversion"/>
  </si>
  <si>
    <t>車款</t>
    <phoneticPr fontId="1" type="noConversion"/>
  </si>
  <si>
    <t>汽油</t>
    <phoneticPr fontId="1" type="noConversion"/>
  </si>
  <si>
    <t>尊爵</t>
    <phoneticPr fontId="1" type="noConversion"/>
  </si>
  <si>
    <t>柴油</t>
    <phoneticPr fontId="1" type="noConversion"/>
  </si>
  <si>
    <t>雅致</t>
    <phoneticPr fontId="1" type="noConversion"/>
  </si>
  <si>
    <t>排氣量</t>
    <phoneticPr fontId="1" type="noConversion"/>
  </si>
  <si>
    <t>自用牌照稅</t>
    <phoneticPr fontId="1" type="noConversion"/>
  </si>
  <si>
    <t>營業用牌照稅</t>
    <phoneticPr fontId="1" type="noConversion"/>
  </si>
  <si>
    <t>自用汽油燃料稅</t>
    <phoneticPr fontId="1" type="noConversion"/>
  </si>
  <si>
    <t>自用柴油燃料稅</t>
    <phoneticPr fontId="1" type="noConversion"/>
  </si>
  <si>
    <t>營業用汽油燃料稅</t>
    <phoneticPr fontId="1" type="noConversion"/>
  </si>
  <si>
    <t>營業用柴油燃料稅</t>
    <phoneticPr fontId="1" type="noConversion"/>
  </si>
  <si>
    <t>車款</t>
    <phoneticPr fontId="1" type="noConversion"/>
  </si>
  <si>
    <t>車型</t>
    <phoneticPr fontId="1" type="noConversion"/>
  </si>
  <si>
    <t>用途</t>
    <phoneticPr fontId="1" type="noConversion"/>
  </si>
  <si>
    <t>Excel</t>
    <phoneticPr fontId="1" type="noConversion"/>
  </si>
  <si>
    <t>Basic</t>
    <phoneticPr fontId="1" type="noConversion"/>
  </si>
  <si>
    <t>Visual</t>
    <phoneticPr fontId="1" type="noConversion"/>
  </si>
  <si>
    <t>車型1</t>
    <phoneticPr fontId="1" type="noConversion"/>
  </si>
  <si>
    <t>車型2</t>
  </si>
  <si>
    <t>車型3</t>
  </si>
  <si>
    <t>車型4</t>
  </si>
  <si>
    <t>售價</t>
    <phoneticPr fontId="1" type="noConversion"/>
  </si>
  <si>
    <t>領牌日期：</t>
    <phoneticPr fontId="1" type="noConversion"/>
  </si>
  <si>
    <t>自費選牌：</t>
    <phoneticPr fontId="1" type="noConversion"/>
  </si>
  <si>
    <t>合計</t>
    <phoneticPr fontId="1" type="noConversion"/>
  </si>
  <si>
    <t>選牌費</t>
    <phoneticPr fontId="1" type="noConversion"/>
  </si>
  <si>
    <t>貸款利息：</t>
    <phoneticPr fontId="1" type="noConversion"/>
  </si>
  <si>
    <t>貸款金額：</t>
    <phoneticPr fontId="1" type="noConversion"/>
  </si>
  <si>
    <t>分期月數：</t>
    <phoneticPr fontId="1" type="noConversion"/>
  </si>
  <si>
    <t>月付金額：</t>
    <phoneticPr fontId="1" type="noConversion"/>
  </si>
  <si>
    <t>頭款金額：</t>
    <phoneticPr fontId="1" type="noConversion"/>
  </si>
  <si>
    <t>領牌日期</t>
    <phoneticPr fontId="1" type="noConversion"/>
  </si>
  <si>
    <t>自費選牌</t>
    <phoneticPr fontId="1" type="noConversion"/>
  </si>
  <si>
    <t>稅金</t>
    <phoneticPr fontId="1" type="noConversion"/>
  </si>
  <si>
    <t>頭款金額</t>
    <phoneticPr fontId="1" type="noConversion"/>
  </si>
  <si>
    <t>貸款金額</t>
    <phoneticPr fontId="1" type="noConversion"/>
  </si>
  <si>
    <t>貸款利息</t>
    <phoneticPr fontId="1" type="noConversion"/>
  </si>
  <si>
    <t>分期月數</t>
    <phoneticPr fontId="1" type="noConversion"/>
  </si>
  <si>
    <t>月付金額</t>
    <phoneticPr fontId="1" type="noConversion"/>
  </si>
  <si>
    <t>日期</t>
    <phoneticPr fontId="1" type="noConversion"/>
  </si>
  <si>
    <t>旗艦</t>
  </si>
  <si>
    <t>用油</t>
    <phoneticPr fontId="1" type="noConversion"/>
  </si>
  <si>
    <t>購車試算系統</t>
    <phoneticPr fontId="1" type="noConversion"/>
  </si>
  <si>
    <t>Excel</t>
  </si>
  <si>
    <t>貸款試算：</t>
    <phoneticPr fontId="1" type="noConversion"/>
  </si>
  <si>
    <t>稅金試算：</t>
    <phoneticPr fontId="1" type="noConversion"/>
  </si>
  <si>
    <t>1-500</t>
    <phoneticPr fontId="1" type="noConversion"/>
  </si>
  <si>
    <t>501-600</t>
    <phoneticPr fontId="1" type="noConversion"/>
  </si>
  <si>
    <t>601-1200</t>
    <phoneticPr fontId="1" type="noConversion"/>
  </si>
  <si>
    <t>1201-1800</t>
    <phoneticPr fontId="1" type="noConversion"/>
  </si>
  <si>
    <t>1801-2400</t>
    <phoneticPr fontId="1" type="noConversion"/>
  </si>
  <si>
    <t>2401-3000</t>
    <phoneticPr fontId="1" type="noConversion"/>
  </si>
  <si>
    <t>3001-3600</t>
    <phoneticPr fontId="1" type="noConversion"/>
  </si>
  <si>
    <t>排汽量</t>
    <phoneticPr fontId="1" type="noConversion"/>
  </si>
  <si>
    <t>Speed</t>
    <phoneticPr fontId="1" type="noConversion"/>
  </si>
  <si>
    <t>售價1</t>
    <phoneticPr fontId="1" type="noConversion"/>
  </si>
  <si>
    <t>售價2</t>
    <phoneticPr fontId="1" type="noConversion"/>
  </si>
  <si>
    <t>售價3</t>
    <phoneticPr fontId="1" type="noConversion"/>
  </si>
  <si>
    <t>售價4</t>
    <phoneticPr fontId="1" type="noConversion"/>
  </si>
  <si>
    <t>排汽量</t>
    <phoneticPr fontId="1" type="noConversion"/>
  </si>
  <si>
    <t>汽/柴油</t>
    <phoneticPr fontId="1" type="noConversion"/>
  </si>
  <si>
    <t>自用</t>
  </si>
  <si>
    <t>無</t>
  </si>
  <si>
    <t>Visual</t>
  </si>
  <si>
    <t>營業用</t>
  </si>
  <si>
    <t>自費</t>
  </si>
  <si>
    <t>Basic</t>
  </si>
  <si>
    <t>柴油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</si>
</sst>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6" formatCode="&quot;$&quot;#,##0;[Red]\-&quot;$&quot;#,##0"/>
    <numFmt numFmtId="7" formatCode="&quot;$&quot;#,##0.00;\-&quot;$&quot;#,##0.00"/>
  </numFmts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4"/>
      <color theme="1"/>
      <name val="標楷體"/>
      <family val="4"/>
      <charset val="136"/>
    </font>
    <font>
      <sz val="18"/>
      <color theme="1"/>
      <name val="標楷體"/>
      <family val="4"/>
      <charset val="136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3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3" borderId="0" xfId="0" applyFill="1">
      <alignment vertical="center"/>
    </xf>
    <xf numFmtId="0" fontId="0" fillId="3" borderId="1" xfId="0" applyFill="1" applyBorder="1">
      <alignment vertical="center"/>
    </xf>
    <xf numFmtId="0" fontId="0" fillId="4" borderId="0" xfId="0" applyFill="1">
      <alignment vertical="center"/>
    </xf>
    <xf numFmtId="0" fontId="0" fillId="4" borderId="1" xfId="0" applyFill="1" applyBorder="1">
      <alignment vertical="center"/>
    </xf>
    <xf numFmtId="14" fontId="0" fillId="3" borderId="0" xfId="0" applyNumberFormat="1" applyFill="1">
      <alignment vertical="center"/>
    </xf>
    <xf numFmtId="10" fontId="0" fillId="4" borderId="1" xfId="1" applyNumberFormat="1" applyFont="1" applyFill="1" applyBorder="1">
      <alignment vertical="center"/>
    </xf>
    <xf numFmtId="6" fontId="0" fillId="4" borderId="1" xfId="0" applyNumberFormat="1" applyFill="1" applyBorder="1">
      <alignment vertical="center"/>
    </xf>
    <xf numFmtId="0" fontId="4" fillId="3" borderId="0" xfId="0" applyFont="1" applyFill="1" applyAlignment="1">
      <alignment horizontal="left" vertical="center"/>
    </xf>
    <xf numFmtId="0" fontId="5" fillId="0" borderId="0" xfId="0" applyFont="1">
      <alignment vertical="center"/>
    </xf>
    <xf numFmtId="0" fontId="4" fillId="4" borderId="0" xfId="0" applyFont="1" applyFill="1">
      <alignment vertical="center"/>
    </xf>
    <xf numFmtId="0" fontId="3" fillId="2" borderId="0" xfId="0" applyFont="1" applyFill="1" applyAlignment="1">
      <alignment horizontal="right" vertical="center"/>
    </xf>
    <xf numFmtId="0" fontId="3" fillId="3" borderId="0" xfId="0" applyFont="1" applyFill="1" applyAlignment="1">
      <alignment horizontal="right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4" borderId="1" xfId="0" applyFont="1" applyFill="1" applyBorder="1">
      <alignment vertical="center"/>
    </xf>
    <xf numFmtId="0" fontId="3" fillId="4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7" fontId="0" fillId="0" borderId="0" xfId="0" applyNumberFormat="1">
      <alignment vertical="center"/>
    </xf>
    <xf numFmtId="22" fontId="0" fillId="0" borderId="0" xfId="0" applyNumberFormat="1">
      <alignment vertical="center"/>
    </xf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66675</xdr:rowOff>
        </xdr:from>
        <xdr:to>
          <xdr:col>3</xdr:col>
          <xdr:colOff>161925</xdr:colOff>
          <xdr:row>1</xdr:row>
          <xdr:rowOff>295275</xdr:rowOff>
        </xdr:to>
        <xdr:sp macro="" textlink="">
          <xdr:nvSpPr>
            <xdr:cNvPr id="2049" name="cboCar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</xdr:row>
          <xdr:rowOff>19050</xdr:rowOff>
        </xdr:from>
        <xdr:to>
          <xdr:col>3</xdr:col>
          <xdr:colOff>161925</xdr:colOff>
          <xdr:row>2</xdr:row>
          <xdr:rowOff>247650</xdr:rowOff>
        </xdr:to>
        <xdr:sp macro="" textlink="">
          <xdr:nvSpPr>
            <xdr:cNvPr id="2050" name="cboTyp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7</xdr:row>
          <xdr:rowOff>38100</xdr:rowOff>
        </xdr:from>
        <xdr:to>
          <xdr:col>1</xdr:col>
          <xdr:colOff>695325</xdr:colOff>
          <xdr:row>7</xdr:row>
          <xdr:rowOff>285750</xdr:rowOff>
        </xdr:to>
        <xdr:sp macro="" textlink="">
          <xdr:nvSpPr>
            <xdr:cNvPr id="2051" name="optUse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7</xdr:row>
          <xdr:rowOff>19050</xdr:rowOff>
        </xdr:from>
        <xdr:to>
          <xdr:col>3</xdr:col>
          <xdr:colOff>114300</xdr:colOff>
          <xdr:row>7</xdr:row>
          <xdr:rowOff>266700</xdr:rowOff>
        </xdr:to>
        <xdr:sp macro="" textlink="">
          <xdr:nvSpPr>
            <xdr:cNvPr id="2052" name="optUse2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2</xdr:col>
          <xdr:colOff>228600</xdr:colOff>
          <xdr:row>8</xdr:row>
          <xdr:rowOff>323850</xdr:rowOff>
        </xdr:to>
        <xdr:sp macro="" textlink="">
          <xdr:nvSpPr>
            <xdr:cNvPr id="2055" name="spnDate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7</xdr:row>
          <xdr:rowOff>95250</xdr:rowOff>
        </xdr:from>
        <xdr:to>
          <xdr:col>8</xdr:col>
          <xdr:colOff>762000</xdr:colOff>
          <xdr:row>7</xdr:row>
          <xdr:rowOff>257175</xdr:rowOff>
        </xdr:to>
        <xdr:sp macro="" textlink="">
          <xdr:nvSpPr>
            <xdr:cNvPr id="2058" name="scbFirst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9</xdr:row>
          <xdr:rowOff>95250</xdr:rowOff>
        </xdr:from>
        <xdr:to>
          <xdr:col>8</xdr:col>
          <xdr:colOff>762000</xdr:colOff>
          <xdr:row>9</xdr:row>
          <xdr:rowOff>257175</xdr:rowOff>
        </xdr:to>
        <xdr:sp macro="" textlink="">
          <xdr:nvSpPr>
            <xdr:cNvPr id="2060" name="scbRate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10</xdr:row>
          <xdr:rowOff>95250</xdr:rowOff>
        </xdr:from>
        <xdr:to>
          <xdr:col>8</xdr:col>
          <xdr:colOff>762000</xdr:colOff>
          <xdr:row>10</xdr:row>
          <xdr:rowOff>257175</xdr:rowOff>
        </xdr:to>
        <xdr:sp macro="" textlink="">
          <xdr:nvSpPr>
            <xdr:cNvPr id="2062" name="scbMonth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76200</xdr:rowOff>
        </xdr:from>
        <xdr:to>
          <xdr:col>8</xdr:col>
          <xdr:colOff>628650</xdr:colOff>
          <xdr:row>4</xdr:row>
          <xdr:rowOff>323850</xdr:rowOff>
        </xdr:to>
        <xdr:sp macro="" textlink="">
          <xdr:nvSpPr>
            <xdr:cNvPr id="2063" name="imgCar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9</xdr:row>
          <xdr:rowOff>57150</xdr:rowOff>
        </xdr:from>
        <xdr:to>
          <xdr:col>1</xdr:col>
          <xdr:colOff>800100</xdr:colOff>
          <xdr:row>9</xdr:row>
          <xdr:rowOff>304800</xdr:rowOff>
        </xdr:to>
        <xdr:sp macro="" textlink="">
          <xdr:nvSpPr>
            <xdr:cNvPr id="2064" name="chkSelect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11</xdr:row>
          <xdr:rowOff>19050</xdr:rowOff>
        </xdr:from>
        <xdr:to>
          <xdr:col>8</xdr:col>
          <xdr:colOff>714375</xdr:colOff>
          <xdr:row>11</xdr:row>
          <xdr:rowOff>323850</xdr:rowOff>
        </xdr:to>
        <xdr:sp macro="" textlink="">
          <xdr:nvSpPr>
            <xdr:cNvPr id="2065" name="cmdOK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333375</xdr:colOff>
          <xdr:row>4</xdr:row>
          <xdr:rowOff>104775</xdr:rowOff>
        </xdr:from>
        <xdr:to>
          <xdr:col>4</xdr:col>
          <xdr:colOff>733425</xdr:colOff>
          <xdr:row>4</xdr:row>
          <xdr:rowOff>304800</xdr:rowOff>
        </xdr:to>
        <xdr:sp macro="" textlink="">
          <xdr:nvSpPr>
            <xdr:cNvPr id="2066" name="spnView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I13"/>
  <sheetViews>
    <sheetView tabSelected="1" workbookViewId="0">
      <selection activeCell="P17" sqref="P17"/>
    </sheetView>
  </sheetViews>
  <sheetFormatPr defaultRowHeight="16.5" x14ac:dyDescent="0.25"/>
  <cols>
    <col min="1" max="5" width="10.75" customWidth="1"/>
    <col min="6" max="6" width="3.625" customWidth="1"/>
    <col min="7" max="9" width="10.75" customWidth="1"/>
  </cols>
  <sheetData>
    <row r="1" spans="1:9" ht="29.25" customHeight="1" x14ac:dyDescent="0.25">
      <c r="C1" s="13" t="s">
        <v>52</v>
      </c>
    </row>
    <row r="2" spans="1:9" ht="27" customHeight="1" x14ac:dyDescent="0.25">
      <c r="A2" s="15" t="s">
        <v>0</v>
      </c>
      <c r="B2" s="2" t="s">
        <v>53</v>
      </c>
      <c r="C2" s="2"/>
      <c r="D2" s="2"/>
    </row>
    <row r="3" spans="1:9" ht="27" customHeight="1" x14ac:dyDescent="0.25">
      <c r="A3" s="15" t="s">
        <v>1</v>
      </c>
      <c r="B3" s="2" t="s">
        <v>50</v>
      </c>
      <c r="C3" s="2"/>
      <c r="D3" s="2"/>
    </row>
    <row r="4" spans="1:9" ht="27" customHeight="1" x14ac:dyDescent="0.25">
      <c r="A4" s="2"/>
      <c r="B4" s="18" t="s">
        <v>69</v>
      </c>
      <c r="C4" s="18" t="s">
        <v>70</v>
      </c>
      <c r="D4" s="18" t="s">
        <v>31</v>
      </c>
    </row>
    <row r="5" spans="1:9" ht="27" customHeight="1" x14ac:dyDescent="0.25">
      <c r="A5" s="2"/>
      <c r="B5" s="4">
        <v>2494</v>
      </c>
      <c r="C5" s="3" t="s">
        <v>77</v>
      </c>
      <c r="D5" s="4">
        <v>1420000</v>
      </c>
    </row>
    <row r="7" spans="1:9" ht="27" customHeight="1" x14ac:dyDescent="0.25">
      <c r="A7" s="5"/>
      <c r="B7" s="12"/>
      <c r="C7" s="12" t="s">
        <v>55</v>
      </c>
      <c r="D7" s="5"/>
      <c r="E7" s="5"/>
      <c r="G7" s="14"/>
      <c r="H7" s="14" t="s">
        <v>54</v>
      </c>
      <c r="I7" s="7"/>
    </row>
    <row r="8" spans="1:9" ht="27" customHeight="1" x14ac:dyDescent="0.25">
      <c r="A8" s="16" t="s">
        <v>5</v>
      </c>
      <c r="B8" s="5"/>
      <c r="C8" s="5"/>
      <c r="D8" s="5"/>
      <c r="E8" s="5"/>
      <c r="G8" s="19" t="s">
        <v>40</v>
      </c>
      <c r="H8" s="8">
        <v>426000</v>
      </c>
      <c r="I8" s="7"/>
    </row>
    <row r="9" spans="1:9" ht="27" customHeight="1" x14ac:dyDescent="0.25">
      <c r="A9" s="16" t="s">
        <v>32</v>
      </c>
      <c r="B9" s="9">
        <v>42409.365636574075</v>
      </c>
      <c r="C9" s="5"/>
      <c r="D9" s="5"/>
      <c r="E9" s="5"/>
      <c r="G9" s="19" t="s">
        <v>37</v>
      </c>
      <c r="H9" s="8">
        <f>D5-H8</f>
        <v>994000</v>
      </c>
      <c r="I9" s="7"/>
    </row>
    <row r="10" spans="1:9" ht="27" customHeight="1" x14ac:dyDescent="0.25">
      <c r="A10" s="16" t="s">
        <v>33</v>
      </c>
      <c r="B10" s="5"/>
      <c r="C10" s="5"/>
      <c r="D10" s="5"/>
      <c r="E10" s="5"/>
      <c r="G10" s="19" t="s">
        <v>36</v>
      </c>
      <c r="H10" s="10">
        <v>0.04</v>
      </c>
      <c r="I10" s="7"/>
    </row>
    <row r="11" spans="1:9" ht="27" customHeight="1" x14ac:dyDescent="0.25">
      <c r="A11" s="17" t="s">
        <v>8</v>
      </c>
      <c r="B11" s="17" t="s">
        <v>6</v>
      </c>
      <c r="C11" s="17" t="s">
        <v>7</v>
      </c>
      <c r="D11" s="17" t="s">
        <v>35</v>
      </c>
      <c r="E11" s="17" t="s">
        <v>34</v>
      </c>
      <c r="G11" s="19" t="s">
        <v>38</v>
      </c>
      <c r="H11" s="8">
        <v>24</v>
      </c>
      <c r="I11" s="7"/>
    </row>
    <row r="12" spans="1:9" ht="27" customHeight="1" x14ac:dyDescent="0.25">
      <c r="A12" s="6">
        <v>1250</v>
      </c>
      <c r="B12" s="6">
        <v>5950</v>
      </c>
      <c r="C12" s="6">
        <v>4011</v>
      </c>
      <c r="D12" s="6">
        <v>0</v>
      </c>
      <c r="E12" s="6">
        <f>SUM(A12:D12)</f>
        <v>11211</v>
      </c>
      <c r="G12" s="20" t="s">
        <v>39</v>
      </c>
      <c r="H12" s="11">
        <f>PMT(H10 / 12, H11, H9)</f>
        <v>-43164.372637749409</v>
      </c>
      <c r="I12" s="7"/>
    </row>
    <row r="13" spans="1:9" ht="27" customHeight="1" x14ac:dyDescent="0.2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6" r:id="rId4" name="spnView">
          <controlPr autoLine="0" r:id="rId5">
            <anchor moveWithCells="1">
              <from>
                <xdr:col>4</xdr:col>
                <xdr:colOff>333375</xdr:colOff>
                <xdr:row>4</xdr:row>
                <xdr:rowOff>104775</xdr:rowOff>
              </from>
              <to>
                <xdr:col>4</xdr:col>
                <xdr:colOff>733425</xdr:colOff>
                <xdr:row>4</xdr:row>
                <xdr:rowOff>304800</xdr:rowOff>
              </to>
            </anchor>
          </controlPr>
        </control>
      </mc:Choice>
      <mc:Fallback>
        <control shapeId="2066" r:id="rId4" name="spnView"/>
      </mc:Fallback>
    </mc:AlternateContent>
    <mc:AlternateContent xmlns:mc="http://schemas.openxmlformats.org/markup-compatibility/2006">
      <mc:Choice Requires="x14">
        <control shapeId="2065" r:id="rId6" name="cmdOK">
          <controlPr autoLine="0" r:id="rId7">
            <anchor moveWithCells="1">
              <from>
                <xdr:col>8</xdr:col>
                <xdr:colOff>66675</xdr:colOff>
                <xdr:row>11</xdr:row>
                <xdr:rowOff>19050</xdr:rowOff>
              </from>
              <to>
                <xdr:col>8</xdr:col>
                <xdr:colOff>714375</xdr:colOff>
                <xdr:row>11</xdr:row>
                <xdr:rowOff>323850</xdr:rowOff>
              </to>
            </anchor>
          </controlPr>
        </control>
      </mc:Choice>
      <mc:Fallback>
        <control shapeId="2065" r:id="rId6" name="cmdOK"/>
      </mc:Fallback>
    </mc:AlternateContent>
    <mc:AlternateContent xmlns:mc="http://schemas.openxmlformats.org/markup-compatibility/2006">
      <mc:Choice Requires="x14">
        <control shapeId="2064" r:id="rId8" name="chkSelect">
          <controlPr autoLine="0" autoPict="0" r:id="rId9">
            <anchor moveWithCells="1">
              <from>
                <xdr:col>1</xdr:col>
                <xdr:colOff>95250</xdr:colOff>
                <xdr:row>9</xdr:row>
                <xdr:rowOff>57150</xdr:rowOff>
              </from>
              <to>
                <xdr:col>1</xdr:col>
                <xdr:colOff>800100</xdr:colOff>
                <xdr:row>9</xdr:row>
                <xdr:rowOff>304800</xdr:rowOff>
              </to>
            </anchor>
          </controlPr>
        </control>
      </mc:Choice>
      <mc:Fallback>
        <control shapeId="2064" r:id="rId8" name="chkSelect"/>
      </mc:Fallback>
    </mc:AlternateContent>
    <mc:AlternateContent xmlns:mc="http://schemas.openxmlformats.org/markup-compatibility/2006">
      <mc:Choice Requires="x14">
        <control shapeId="2063" r:id="rId10" name="imgCar">
          <controlPr defaultSize="0" autoLine="0" r:id="rId11">
            <anchor moveWithCells="1">
              <from>
                <xdr:col>5</xdr:col>
                <xdr:colOff>0</xdr:colOff>
                <xdr:row>0</xdr:row>
                <xdr:rowOff>76200</xdr:rowOff>
              </from>
              <to>
                <xdr:col>8</xdr:col>
                <xdr:colOff>628650</xdr:colOff>
                <xdr:row>4</xdr:row>
                <xdr:rowOff>323850</xdr:rowOff>
              </to>
            </anchor>
          </controlPr>
        </control>
      </mc:Choice>
      <mc:Fallback>
        <control shapeId="2063" r:id="rId10" name="imgCar"/>
      </mc:Fallback>
    </mc:AlternateContent>
    <mc:AlternateContent xmlns:mc="http://schemas.openxmlformats.org/markup-compatibility/2006">
      <mc:Choice Requires="x14">
        <control shapeId="2062" r:id="rId12" name="scbMonth">
          <controlPr defaultSize="0" autoLine="0" linkedCell="H11" r:id="rId13">
            <anchor moveWithCells="1">
              <from>
                <xdr:col>8</xdr:col>
                <xdr:colOff>28575</xdr:colOff>
                <xdr:row>10</xdr:row>
                <xdr:rowOff>95250</xdr:rowOff>
              </from>
              <to>
                <xdr:col>8</xdr:col>
                <xdr:colOff>762000</xdr:colOff>
                <xdr:row>10</xdr:row>
                <xdr:rowOff>257175</xdr:rowOff>
              </to>
            </anchor>
          </controlPr>
        </control>
      </mc:Choice>
      <mc:Fallback>
        <control shapeId="2062" r:id="rId12" name="scbMonth"/>
      </mc:Fallback>
    </mc:AlternateContent>
    <mc:AlternateContent xmlns:mc="http://schemas.openxmlformats.org/markup-compatibility/2006">
      <mc:Choice Requires="x14">
        <control shapeId="2060" r:id="rId14" name="scbRate">
          <controlPr defaultSize="0" autoLine="0" r:id="rId15">
            <anchor moveWithCells="1">
              <from>
                <xdr:col>8</xdr:col>
                <xdr:colOff>28575</xdr:colOff>
                <xdr:row>9</xdr:row>
                <xdr:rowOff>95250</xdr:rowOff>
              </from>
              <to>
                <xdr:col>8</xdr:col>
                <xdr:colOff>762000</xdr:colOff>
                <xdr:row>9</xdr:row>
                <xdr:rowOff>257175</xdr:rowOff>
              </to>
            </anchor>
          </controlPr>
        </control>
      </mc:Choice>
      <mc:Fallback>
        <control shapeId="2060" r:id="rId14" name="scbRate"/>
      </mc:Fallback>
    </mc:AlternateContent>
    <mc:AlternateContent xmlns:mc="http://schemas.openxmlformats.org/markup-compatibility/2006">
      <mc:Choice Requires="x14">
        <control shapeId="2058" r:id="rId16" name="scbFirst">
          <controlPr defaultSize="0" autoLine="0" linkedCell="H8" r:id="rId17">
            <anchor moveWithCells="1">
              <from>
                <xdr:col>8</xdr:col>
                <xdr:colOff>28575</xdr:colOff>
                <xdr:row>7</xdr:row>
                <xdr:rowOff>95250</xdr:rowOff>
              </from>
              <to>
                <xdr:col>8</xdr:col>
                <xdr:colOff>762000</xdr:colOff>
                <xdr:row>7</xdr:row>
                <xdr:rowOff>257175</xdr:rowOff>
              </to>
            </anchor>
          </controlPr>
        </control>
      </mc:Choice>
      <mc:Fallback>
        <control shapeId="2058" r:id="rId16" name="scbFirst"/>
      </mc:Fallback>
    </mc:AlternateContent>
    <mc:AlternateContent xmlns:mc="http://schemas.openxmlformats.org/markup-compatibility/2006">
      <mc:Choice Requires="x14">
        <control shapeId="2055" r:id="rId18" name="spnDate">
          <controlPr autoLine="0" r:id="rId19">
            <anchor moveWithCells="1">
              <from>
                <xdr:col>2</xdr:col>
                <xdr:colOff>66675</xdr:colOff>
                <xdr:row>8</xdr:row>
                <xdr:rowOff>0</xdr:rowOff>
              </from>
              <to>
                <xdr:col>2</xdr:col>
                <xdr:colOff>228600</xdr:colOff>
                <xdr:row>8</xdr:row>
                <xdr:rowOff>323850</xdr:rowOff>
              </to>
            </anchor>
          </controlPr>
        </control>
      </mc:Choice>
      <mc:Fallback>
        <control shapeId="2055" r:id="rId18" name="spnDate"/>
      </mc:Fallback>
    </mc:AlternateContent>
    <mc:AlternateContent xmlns:mc="http://schemas.openxmlformats.org/markup-compatibility/2006">
      <mc:Choice Requires="x14">
        <control shapeId="2052" r:id="rId20" name="optUse2">
          <controlPr autoLine="0" autoPict="0" r:id="rId21">
            <anchor moveWithCells="1">
              <from>
                <xdr:col>2</xdr:col>
                <xdr:colOff>190500</xdr:colOff>
                <xdr:row>7</xdr:row>
                <xdr:rowOff>19050</xdr:rowOff>
              </from>
              <to>
                <xdr:col>3</xdr:col>
                <xdr:colOff>114300</xdr:colOff>
                <xdr:row>7</xdr:row>
                <xdr:rowOff>266700</xdr:rowOff>
              </to>
            </anchor>
          </controlPr>
        </control>
      </mc:Choice>
      <mc:Fallback>
        <control shapeId="2052" r:id="rId20" name="optUse2"/>
      </mc:Fallback>
    </mc:AlternateContent>
    <mc:AlternateContent xmlns:mc="http://schemas.openxmlformats.org/markup-compatibility/2006">
      <mc:Choice Requires="x14">
        <control shapeId="2051" r:id="rId22" name="optUse1">
          <controlPr autoLine="0" autoPict="0" r:id="rId23">
            <anchor moveWithCells="1">
              <from>
                <xdr:col>1</xdr:col>
                <xdr:colOff>66675</xdr:colOff>
                <xdr:row>7</xdr:row>
                <xdr:rowOff>38100</xdr:rowOff>
              </from>
              <to>
                <xdr:col>1</xdr:col>
                <xdr:colOff>695325</xdr:colOff>
                <xdr:row>7</xdr:row>
                <xdr:rowOff>285750</xdr:rowOff>
              </to>
            </anchor>
          </controlPr>
        </control>
      </mc:Choice>
      <mc:Fallback>
        <control shapeId="2051" r:id="rId22" name="optUse1"/>
      </mc:Fallback>
    </mc:AlternateContent>
    <mc:AlternateContent xmlns:mc="http://schemas.openxmlformats.org/markup-compatibility/2006">
      <mc:Choice Requires="x14">
        <control shapeId="2050" r:id="rId24" name="cboType">
          <controlPr autoLine="0" r:id="rId25">
            <anchor moveWithCells="1">
              <from>
                <xdr:col>2</xdr:col>
                <xdr:colOff>66675</xdr:colOff>
                <xdr:row>2</xdr:row>
                <xdr:rowOff>19050</xdr:rowOff>
              </from>
              <to>
                <xdr:col>3</xdr:col>
                <xdr:colOff>161925</xdr:colOff>
                <xdr:row>2</xdr:row>
                <xdr:rowOff>247650</xdr:rowOff>
              </to>
            </anchor>
          </controlPr>
        </control>
      </mc:Choice>
      <mc:Fallback>
        <control shapeId="2050" r:id="rId24" name="cboType"/>
      </mc:Fallback>
    </mc:AlternateContent>
    <mc:AlternateContent xmlns:mc="http://schemas.openxmlformats.org/markup-compatibility/2006">
      <mc:Choice Requires="x14">
        <control shapeId="2049" r:id="rId26" name="cboCar">
          <controlPr autoLine="0" linkedCell="B2" listFillRange="車輛資料!A2:C5" r:id="rId27">
            <anchor moveWithCells="1">
              <from>
                <xdr:col>2</xdr:col>
                <xdr:colOff>66675</xdr:colOff>
                <xdr:row>1</xdr:row>
                <xdr:rowOff>66675</xdr:rowOff>
              </from>
              <to>
                <xdr:col>3</xdr:col>
                <xdr:colOff>161925</xdr:colOff>
                <xdr:row>1</xdr:row>
                <xdr:rowOff>295275</xdr:rowOff>
              </to>
            </anchor>
          </controlPr>
        </control>
      </mc:Choice>
      <mc:Fallback>
        <control shapeId="2049" r:id="rId26" name="cboC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K5"/>
  <sheetViews>
    <sheetView workbookViewId="0">
      <selection activeCell="O6" sqref="O6"/>
    </sheetView>
  </sheetViews>
  <sheetFormatPr defaultRowHeight="16.5" x14ac:dyDescent="0.25"/>
  <cols>
    <col min="1" max="1" width="6.75" customWidth="1"/>
    <col min="2" max="2" width="8" customWidth="1"/>
    <col min="3" max="3" width="6.25" customWidth="1"/>
    <col min="4" max="4" width="6.5" bestFit="1" customWidth="1"/>
    <col min="6" max="6" width="6.5" bestFit="1" customWidth="1"/>
    <col min="8" max="8" width="6.5" bestFit="1" customWidth="1"/>
    <col min="10" max="10" width="6.5" bestFit="1" customWidth="1"/>
  </cols>
  <sheetData>
    <row r="1" spans="1:11" x14ac:dyDescent="0.25">
      <c r="A1" t="s">
        <v>9</v>
      </c>
      <c r="B1" t="s">
        <v>63</v>
      </c>
      <c r="C1" t="s">
        <v>51</v>
      </c>
      <c r="D1" t="s">
        <v>27</v>
      </c>
      <c r="E1" t="s">
        <v>65</v>
      </c>
      <c r="F1" t="s">
        <v>28</v>
      </c>
      <c r="G1" t="s">
        <v>66</v>
      </c>
      <c r="H1" t="s">
        <v>29</v>
      </c>
      <c r="I1" t="s">
        <v>67</v>
      </c>
      <c r="J1" t="s">
        <v>30</v>
      </c>
      <c r="K1" t="s">
        <v>68</v>
      </c>
    </row>
    <row r="2" spans="1:11" x14ac:dyDescent="0.25">
      <c r="A2" t="s">
        <v>24</v>
      </c>
      <c r="B2">
        <v>2494</v>
      </c>
      <c r="C2" t="s">
        <v>12</v>
      </c>
      <c r="D2" t="s">
        <v>2</v>
      </c>
      <c r="E2">
        <v>1420000</v>
      </c>
      <c r="F2" t="s">
        <v>11</v>
      </c>
      <c r="G2">
        <v>1310000</v>
      </c>
      <c r="H2" t="s">
        <v>3</v>
      </c>
      <c r="I2">
        <v>1180000</v>
      </c>
      <c r="J2" t="s">
        <v>4</v>
      </c>
      <c r="K2">
        <v>1130000</v>
      </c>
    </row>
    <row r="3" spans="1:11" x14ac:dyDescent="0.25">
      <c r="A3" t="s">
        <v>26</v>
      </c>
      <c r="B3">
        <v>1998</v>
      </c>
      <c r="C3" t="s">
        <v>10</v>
      </c>
      <c r="D3" t="s">
        <v>11</v>
      </c>
      <c r="E3">
        <v>989000</v>
      </c>
      <c r="F3" t="s">
        <v>3</v>
      </c>
      <c r="G3">
        <v>929000</v>
      </c>
      <c r="H3" t="s">
        <v>4</v>
      </c>
      <c r="I3">
        <v>899000</v>
      </c>
    </row>
    <row r="4" spans="1:11" x14ac:dyDescent="0.25">
      <c r="A4" t="s">
        <v>25</v>
      </c>
      <c r="B4">
        <v>1798</v>
      </c>
      <c r="C4" t="s">
        <v>10</v>
      </c>
      <c r="D4" t="s">
        <v>11</v>
      </c>
      <c r="E4">
        <v>759000</v>
      </c>
      <c r="F4" t="s">
        <v>3</v>
      </c>
      <c r="G4">
        <v>729000</v>
      </c>
      <c r="H4" t="s">
        <v>4</v>
      </c>
      <c r="I4">
        <v>689000</v>
      </c>
      <c r="J4" t="s">
        <v>13</v>
      </c>
      <c r="K4">
        <v>646000</v>
      </c>
    </row>
    <row r="5" spans="1:11" x14ac:dyDescent="0.25">
      <c r="A5" t="s">
        <v>64</v>
      </c>
      <c r="B5">
        <v>1497</v>
      </c>
      <c r="C5" t="s">
        <v>10</v>
      </c>
      <c r="D5" t="s">
        <v>3</v>
      </c>
      <c r="E5">
        <v>619000</v>
      </c>
      <c r="F5" t="s">
        <v>4</v>
      </c>
      <c r="G5">
        <v>579000</v>
      </c>
      <c r="H5" t="s">
        <v>13</v>
      </c>
      <c r="I5">
        <v>555000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G11"/>
  <sheetViews>
    <sheetView workbookViewId="0">
      <selection activeCell="I14" sqref="I14"/>
    </sheetView>
  </sheetViews>
  <sheetFormatPr defaultRowHeight="16.5" x14ac:dyDescent="0.25"/>
  <cols>
    <col min="1" max="1" width="9.625" customWidth="1"/>
    <col min="2" max="2" width="11.625" bestFit="1" customWidth="1"/>
    <col min="3" max="4" width="16.125" bestFit="1" customWidth="1"/>
    <col min="5" max="5" width="13.875" bestFit="1" customWidth="1"/>
    <col min="6" max="7" width="18.375" bestFit="1" customWidth="1"/>
  </cols>
  <sheetData>
    <row r="1" spans="1:7" x14ac:dyDescent="0.25">
      <c r="A1" t="s">
        <v>14</v>
      </c>
      <c r="B1" t="s">
        <v>15</v>
      </c>
      <c r="C1" t="s">
        <v>17</v>
      </c>
      <c r="D1" t="s">
        <v>18</v>
      </c>
      <c r="E1" t="s">
        <v>16</v>
      </c>
      <c r="F1" t="s">
        <v>19</v>
      </c>
      <c r="G1" t="s">
        <v>20</v>
      </c>
    </row>
    <row r="2" spans="1:7" x14ac:dyDescent="0.25">
      <c r="A2" t="s">
        <v>56</v>
      </c>
      <c r="B2">
        <v>1620</v>
      </c>
      <c r="C2">
        <v>2160</v>
      </c>
      <c r="D2">
        <v>1296</v>
      </c>
      <c r="E2">
        <v>900</v>
      </c>
      <c r="F2">
        <v>0</v>
      </c>
      <c r="G2">
        <v>0</v>
      </c>
    </row>
    <row r="3" spans="1:7" x14ac:dyDescent="0.25">
      <c r="A3" t="s">
        <v>57</v>
      </c>
      <c r="B3">
        <v>2160</v>
      </c>
      <c r="C3">
        <v>2880</v>
      </c>
      <c r="D3">
        <v>1728</v>
      </c>
      <c r="E3">
        <v>1260</v>
      </c>
      <c r="F3">
        <v>1440</v>
      </c>
      <c r="G3">
        <v>864</v>
      </c>
    </row>
    <row r="4" spans="1:7" x14ac:dyDescent="0.25">
      <c r="A4" t="s">
        <v>58</v>
      </c>
      <c r="B4">
        <v>4320</v>
      </c>
      <c r="C4">
        <v>4320</v>
      </c>
      <c r="D4">
        <v>2592</v>
      </c>
      <c r="E4">
        <v>2160</v>
      </c>
      <c r="F4">
        <v>2160</v>
      </c>
      <c r="G4">
        <v>1296</v>
      </c>
    </row>
    <row r="5" spans="1:7" x14ac:dyDescent="0.25">
      <c r="A5" t="s">
        <v>59</v>
      </c>
      <c r="B5">
        <v>7120</v>
      </c>
      <c r="C5">
        <v>4800</v>
      </c>
      <c r="D5">
        <v>2880</v>
      </c>
      <c r="E5">
        <v>3060</v>
      </c>
      <c r="F5">
        <v>2400</v>
      </c>
      <c r="G5">
        <v>1440</v>
      </c>
    </row>
    <row r="6" spans="1:7" x14ac:dyDescent="0.25">
      <c r="A6" t="s">
        <v>60</v>
      </c>
      <c r="B6">
        <v>11230</v>
      </c>
      <c r="C6">
        <v>6180</v>
      </c>
      <c r="D6">
        <v>3708</v>
      </c>
      <c r="E6">
        <v>6480</v>
      </c>
      <c r="F6">
        <v>3083</v>
      </c>
      <c r="G6">
        <v>1850</v>
      </c>
    </row>
    <row r="7" spans="1:7" x14ac:dyDescent="0.25">
      <c r="A7" t="s">
        <v>61</v>
      </c>
      <c r="B7">
        <v>15210</v>
      </c>
      <c r="C7">
        <v>7200</v>
      </c>
      <c r="D7">
        <v>4320</v>
      </c>
      <c r="E7">
        <v>9900</v>
      </c>
      <c r="F7">
        <v>3600</v>
      </c>
      <c r="G7">
        <v>2160</v>
      </c>
    </row>
    <row r="8" spans="1:7" x14ac:dyDescent="0.25">
      <c r="A8" t="s">
        <v>62</v>
      </c>
      <c r="B8" s="1">
        <v>28220</v>
      </c>
      <c r="C8">
        <v>8640</v>
      </c>
      <c r="D8">
        <v>5184</v>
      </c>
      <c r="E8">
        <v>16380</v>
      </c>
      <c r="F8">
        <v>5670</v>
      </c>
      <c r="G8">
        <v>3402</v>
      </c>
    </row>
    <row r="9" spans="1:7" x14ac:dyDescent="0.25">
      <c r="B9" s="1"/>
    </row>
    <row r="10" spans="1:7" x14ac:dyDescent="0.25">
      <c r="B10" s="1"/>
    </row>
    <row r="11" spans="1:7" x14ac:dyDescent="0.25">
      <c r="B11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L4"/>
  <sheetViews>
    <sheetView workbookViewId="0">
      <selection activeCell="P20" sqref="P20"/>
    </sheetView>
  </sheetViews>
  <sheetFormatPr defaultRowHeight="16.5" x14ac:dyDescent="0.25"/>
  <cols>
    <col min="1" max="1" width="6.5" bestFit="1" customWidth="1"/>
    <col min="2" max="2" width="5.5" bestFit="1" customWidth="1"/>
    <col min="3" max="3" width="7.5" bestFit="1" customWidth="1"/>
    <col min="4" max="4" width="11.125" customWidth="1"/>
    <col min="11" max="11" width="12" customWidth="1"/>
    <col min="12" max="12" width="14.25" customWidth="1"/>
  </cols>
  <sheetData>
    <row r="1" spans="1:12" x14ac:dyDescent="0.25">
      <c r="A1" t="s">
        <v>21</v>
      </c>
      <c r="B1" t="s">
        <v>22</v>
      </c>
      <c r="C1" t="s">
        <v>23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</row>
    <row r="2" spans="1:12" x14ac:dyDescent="0.25">
      <c r="A2" t="s">
        <v>53</v>
      </c>
      <c r="B2" t="s">
        <v>50</v>
      </c>
      <c r="C2" t="s">
        <v>71</v>
      </c>
      <c r="D2" s="21">
        <v>42405</v>
      </c>
      <c r="E2" t="s">
        <v>72</v>
      </c>
      <c r="F2">
        <v>19014</v>
      </c>
      <c r="G2">
        <v>426000</v>
      </c>
      <c r="H2">
        <v>994000</v>
      </c>
      <c r="I2">
        <v>0.04</v>
      </c>
      <c r="J2">
        <v>24</v>
      </c>
      <c r="K2" s="22">
        <v>-43164.37</v>
      </c>
      <c r="L2" s="23">
        <v>42405.446666666663</v>
      </c>
    </row>
    <row r="3" spans="1:12" x14ac:dyDescent="0.25">
      <c r="A3" t="s">
        <v>73</v>
      </c>
      <c r="B3" t="s">
        <v>50</v>
      </c>
      <c r="C3" t="s">
        <v>74</v>
      </c>
      <c r="D3" s="21">
        <v>42405</v>
      </c>
      <c r="E3" t="s">
        <v>75</v>
      </c>
      <c r="F3">
        <v>11922</v>
      </c>
      <c r="G3">
        <v>278700</v>
      </c>
      <c r="H3">
        <v>650300</v>
      </c>
      <c r="I3">
        <v>4.1000000000000002E-2</v>
      </c>
      <c r="J3">
        <v>24</v>
      </c>
      <c r="K3" s="22">
        <v>-28268.18</v>
      </c>
      <c r="L3" s="23">
        <v>42405.447106481479</v>
      </c>
    </row>
    <row r="4" spans="1:12" x14ac:dyDescent="0.25">
      <c r="A4" t="s">
        <v>76</v>
      </c>
      <c r="B4" t="s">
        <v>50</v>
      </c>
      <c r="C4" t="s">
        <v>71</v>
      </c>
      <c r="D4" s="21">
        <v>42431</v>
      </c>
      <c r="E4" t="s">
        <v>75</v>
      </c>
      <c r="F4">
        <v>13211</v>
      </c>
      <c r="G4">
        <v>193800</v>
      </c>
      <c r="H4">
        <v>452200</v>
      </c>
      <c r="I4">
        <v>4.1000000000000002E-2</v>
      </c>
      <c r="J4">
        <v>36</v>
      </c>
      <c r="K4" s="22">
        <v>-13370.87</v>
      </c>
      <c r="L4" s="23">
        <v>42405.447500000002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試算</vt:lpstr>
      <vt:lpstr>車輛資料</vt:lpstr>
      <vt:lpstr>賦稅資料</vt:lpstr>
      <vt:lpstr>紀錄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2016-01-21T07:16:42Z</dcterms:created>
  <dcterms:modified xsi:type="dcterms:W3CDTF">2016-02-09T00:48:28Z</dcterms:modified>
</cp:coreProperties>
</file>