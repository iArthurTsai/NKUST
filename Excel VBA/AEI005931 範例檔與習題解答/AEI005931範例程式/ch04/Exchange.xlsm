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00ExceleVBA\2018再刷\AEI005931範例程式\ch04\"/>
    </mc:Choice>
  </mc:AlternateContent>
  <bookViews>
    <workbookView xWindow="0" yWindow="0" windowWidth="20490" windowHeight="7575"/>
  </bookViews>
  <sheets>
    <sheet name="工作表1" sheetId="1" r:id="rId1"/>
  </sheets>
  <definedNames>
    <definedName name="infor" localSheetId="0">工作表1!$H$1:$M$16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" i="1" l="1"/>
  <c r="E2" i="1" s="1"/>
</calcChain>
</file>

<file path=xl/connections.xml><?xml version="1.0" encoding="utf-8"?>
<connections xmlns="http://schemas.openxmlformats.org/spreadsheetml/2006/main">
  <connection id="1" name="連線" type="4" refreshedVersion="6" background="1" saveData="1">
    <webPr sourceData="1" parsePre="1" consecutive="1" xl2000="1" url="https://ebank.landbank.com.tw/infor/infor.aspx" htmlTables="1">
      <tables count="1">
        <s v="Display"/>
      </tables>
    </webPr>
  </connection>
</connections>
</file>

<file path=xl/sharedStrings.xml><?xml version="1.0" encoding="utf-8"?>
<sst xmlns="http://schemas.openxmlformats.org/spreadsheetml/2006/main" count="58" uniqueCount="30">
  <si>
    <t>金額</t>
    <phoneticPr fontId="1" type="noConversion"/>
  </si>
  <si>
    <t>幣別</t>
    <phoneticPr fontId="1" type="noConversion"/>
  </si>
  <si>
    <t>買時匯率</t>
    <phoneticPr fontId="1" type="noConversion"/>
  </si>
  <si>
    <t>目前匯率</t>
    <phoneticPr fontId="1" type="noConversion"/>
  </si>
  <si>
    <t>報酬(台幣)</t>
    <phoneticPr fontId="1" type="noConversion"/>
  </si>
  <si>
    <t>更新日期：</t>
    <phoneticPr fontId="1" type="noConversion"/>
  </si>
  <si>
    <t>幣別 ﹨ 項目</t>
  </si>
  <si>
    <t>即期</t>
  </si>
  <si>
    <t>現鈔</t>
  </si>
  <si>
    <t>歷史</t>
  </si>
  <si>
    <t>匯率</t>
  </si>
  <si>
    <t>買進</t>
  </si>
  <si>
    <t>賣出</t>
  </si>
  <si>
    <t>美金</t>
  </si>
  <si>
    <t>查詢</t>
  </si>
  <si>
    <t>日圓</t>
  </si>
  <si>
    <t>英鎊</t>
  </si>
  <si>
    <t>--</t>
  </si>
  <si>
    <t>港幣</t>
  </si>
  <si>
    <t>澳幣</t>
  </si>
  <si>
    <t>加拿大幣</t>
  </si>
  <si>
    <t>新加坡幣</t>
  </si>
  <si>
    <t>瑞士法郎</t>
  </si>
  <si>
    <t>瑞典幣</t>
  </si>
  <si>
    <t>南非幣</t>
  </si>
  <si>
    <t>泰幣</t>
  </si>
  <si>
    <t>紐西蘭幣</t>
  </si>
  <si>
    <t>歐元</t>
  </si>
  <si>
    <t>人民幣</t>
  </si>
  <si>
    <t>美金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</si>
</sst>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0</xdr:row>
          <xdr:rowOff>152400</xdr:rowOff>
        </xdr:from>
        <xdr:to>
          <xdr:col>6</xdr:col>
          <xdr:colOff>419100</xdr:colOff>
          <xdr:row>1</xdr:row>
          <xdr:rowOff>152400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infor" growShrinkType="overwriteClear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A1:M16"/>
  <sheetViews>
    <sheetView tabSelected="1" workbookViewId="0">
      <selection activeCell="F3" sqref="F3"/>
    </sheetView>
  </sheetViews>
  <sheetFormatPr defaultRowHeight="16.5" x14ac:dyDescent="0.25"/>
  <cols>
    <col min="1" max="1" width="11.625" customWidth="1"/>
    <col min="2" max="5" width="11.375" customWidth="1"/>
    <col min="8" max="8" width="12.75" bestFit="1" customWidth="1"/>
    <col min="9" max="12" width="7.5" bestFit="1" customWidth="1"/>
    <col min="13" max="13" width="5.5" bestFit="1" customWidth="1"/>
  </cols>
  <sheetData>
    <row r="1" spans="1:13" ht="24" customHeight="1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H1" t="s">
        <v>6</v>
      </c>
      <c r="I1" t="s">
        <v>7</v>
      </c>
      <c r="K1" t="s">
        <v>8</v>
      </c>
      <c r="M1" t="s">
        <v>9</v>
      </c>
    </row>
    <row r="2" spans="1:13" ht="24" customHeight="1" x14ac:dyDescent="0.25">
      <c r="A2" s="1">
        <v>1000</v>
      </c>
      <c r="B2" s="1" t="s">
        <v>29</v>
      </c>
      <c r="C2" s="1">
        <v>32.54</v>
      </c>
      <c r="D2" s="1">
        <f>VLOOKUP(B2,H3:L16,5,FALSE)</f>
        <v>30.863</v>
      </c>
      <c r="E2" s="1">
        <f>(D2-C2)*A2</f>
        <v>-1676.9999999999995</v>
      </c>
      <c r="I2" t="s">
        <v>11</v>
      </c>
      <c r="J2" t="s">
        <v>12</v>
      </c>
      <c r="K2" t="s">
        <v>11</v>
      </c>
      <c r="L2" t="s">
        <v>12</v>
      </c>
      <c r="M2" t="s">
        <v>10</v>
      </c>
    </row>
    <row r="3" spans="1:13" x14ac:dyDescent="0.25">
      <c r="A3" t="s">
        <v>5</v>
      </c>
      <c r="B3" s="2">
        <v>43309</v>
      </c>
      <c r="H3" t="s">
        <v>13</v>
      </c>
      <c r="I3">
        <v>30.533000000000001</v>
      </c>
      <c r="J3">
        <v>30.632999999999999</v>
      </c>
      <c r="K3">
        <v>30.152999999999999</v>
      </c>
      <c r="L3">
        <v>30.863</v>
      </c>
      <c r="M3" t="s">
        <v>14</v>
      </c>
    </row>
    <row r="4" spans="1:13" x14ac:dyDescent="0.25">
      <c r="H4" t="s">
        <v>15</v>
      </c>
      <c r="I4">
        <v>0.27350000000000002</v>
      </c>
      <c r="J4">
        <v>0.27750000000000002</v>
      </c>
      <c r="K4">
        <v>0.26790000000000003</v>
      </c>
      <c r="L4">
        <v>0.27960000000000002</v>
      </c>
      <c r="M4" t="s">
        <v>14</v>
      </c>
    </row>
    <row r="5" spans="1:13" x14ac:dyDescent="0.25">
      <c r="H5" t="s">
        <v>16</v>
      </c>
      <c r="I5">
        <v>39.909999999999997</v>
      </c>
      <c r="J5">
        <v>40.31</v>
      </c>
      <c r="K5" t="s">
        <v>17</v>
      </c>
      <c r="L5" t="s">
        <v>17</v>
      </c>
      <c r="M5" t="s">
        <v>14</v>
      </c>
    </row>
    <row r="6" spans="1:13" x14ac:dyDescent="0.25">
      <c r="H6" t="s">
        <v>18</v>
      </c>
      <c r="I6">
        <v>3.867</v>
      </c>
      <c r="J6">
        <v>3.927</v>
      </c>
      <c r="K6">
        <v>3.7770000000000001</v>
      </c>
      <c r="L6">
        <v>3.9369999999999998</v>
      </c>
      <c r="M6" t="s">
        <v>14</v>
      </c>
    </row>
    <row r="7" spans="1:13" x14ac:dyDescent="0.25">
      <c r="H7" t="s">
        <v>19</v>
      </c>
      <c r="I7">
        <v>22.51</v>
      </c>
      <c r="J7">
        <v>22.71</v>
      </c>
      <c r="K7">
        <v>22.26</v>
      </c>
      <c r="L7">
        <v>22.96</v>
      </c>
      <c r="M7" t="s">
        <v>14</v>
      </c>
    </row>
    <row r="8" spans="1:13" x14ac:dyDescent="0.25">
      <c r="H8" t="s">
        <v>20</v>
      </c>
      <c r="I8">
        <v>23.34</v>
      </c>
      <c r="J8">
        <v>23.52</v>
      </c>
      <c r="K8">
        <v>23.06</v>
      </c>
      <c r="L8">
        <v>23.8</v>
      </c>
      <c r="M8" t="s">
        <v>14</v>
      </c>
    </row>
    <row r="9" spans="1:13" x14ac:dyDescent="0.25">
      <c r="H9" t="s">
        <v>21</v>
      </c>
      <c r="I9">
        <v>22.4</v>
      </c>
      <c r="J9">
        <v>22.56</v>
      </c>
      <c r="K9" t="s">
        <v>17</v>
      </c>
      <c r="L9" t="s">
        <v>17</v>
      </c>
      <c r="M9" t="s">
        <v>14</v>
      </c>
    </row>
    <row r="10" spans="1:13" x14ac:dyDescent="0.25">
      <c r="H10" t="s">
        <v>22</v>
      </c>
      <c r="I10">
        <v>30.65</v>
      </c>
      <c r="J10">
        <v>30.85</v>
      </c>
      <c r="K10" t="s">
        <v>17</v>
      </c>
      <c r="L10" t="s">
        <v>17</v>
      </c>
      <c r="M10" t="s">
        <v>14</v>
      </c>
    </row>
    <row r="11" spans="1:13" x14ac:dyDescent="0.25">
      <c r="H11" t="s">
        <v>23</v>
      </c>
      <c r="I11">
        <v>3.44</v>
      </c>
      <c r="J11">
        <v>3.5</v>
      </c>
      <c r="K11" t="s">
        <v>17</v>
      </c>
      <c r="L11" t="s">
        <v>17</v>
      </c>
      <c r="M11" t="s">
        <v>14</v>
      </c>
    </row>
    <row r="12" spans="1:13" x14ac:dyDescent="0.25">
      <c r="H12" t="s">
        <v>24</v>
      </c>
      <c r="I12">
        <v>2.27</v>
      </c>
      <c r="J12">
        <v>2.37</v>
      </c>
      <c r="K12" t="s">
        <v>17</v>
      </c>
      <c r="L12" t="s">
        <v>17</v>
      </c>
      <c r="M12" t="s">
        <v>14</v>
      </c>
    </row>
    <row r="13" spans="1:13" x14ac:dyDescent="0.25">
      <c r="H13" t="s">
        <v>25</v>
      </c>
      <c r="I13">
        <v>0.88570000000000004</v>
      </c>
      <c r="J13">
        <v>0.94569999999999999</v>
      </c>
      <c r="K13" t="s">
        <v>17</v>
      </c>
      <c r="L13" t="s">
        <v>17</v>
      </c>
      <c r="M13" t="s">
        <v>14</v>
      </c>
    </row>
    <row r="14" spans="1:13" x14ac:dyDescent="0.25">
      <c r="H14" t="s">
        <v>26</v>
      </c>
      <c r="I14">
        <v>20.64</v>
      </c>
      <c r="J14">
        <v>20.84</v>
      </c>
      <c r="K14" t="s">
        <v>17</v>
      </c>
      <c r="L14" t="s">
        <v>17</v>
      </c>
      <c r="M14" t="s">
        <v>14</v>
      </c>
    </row>
    <row r="15" spans="1:13" x14ac:dyDescent="0.25">
      <c r="H15" t="s">
        <v>27</v>
      </c>
      <c r="I15">
        <v>35.450000000000003</v>
      </c>
      <c r="J15">
        <v>35.81</v>
      </c>
      <c r="K15">
        <v>35.03</v>
      </c>
      <c r="L15">
        <v>36.08</v>
      </c>
      <c r="M15" t="s">
        <v>14</v>
      </c>
    </row>
    <row r="16" spans="1:13" x14ac:dyDescent="0.25">
      <c r="H16" t="s">
        <v>28</v>
      </c>
      <c r="I16">
        <v>4.4640000000000004</v>
      </c>
      <c r="J16">
        <v>4.5140000000000002</v>
      </c>
      <c r="K16">
        <v>4.3890000000000002</v>
      </c>
      <c r="L16">
        <v>4.5540000000000003</v>
      </c>
      <c r="M16" t="s">
        <v>14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autoLine="0" r:id="rId5">
            <anchor moveWithCells="1">
              <from>
                <xdr:col>5</xdr:col>
                <xdr:colOff>190500</xdr:colOff>
                <xdr:row>0</xdr:row>
                <xdr:rowOff>152400</xdr:rowOff>
              </from>
              <to>
                <xdr:col>6</xdr:col>
                <xdr:colOff>419100</xdr:colOff>
                <xdr:row>1</xdr:row>
                <xdr:rowOff>152400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已命名的範圍</vt:lpstr>
      </vt:variant>
      <vt:variant>
        <vt:i4>1</vt:i4>
      </vt:variant>
    </vt:vector>
  </HeadingPairs>
  <TitlesOfParts>
    <vt:vector size="2" baseType="lpstr">
      <vt:lpstr>工作表1</vt:lpstr>
      <vt:lpstr>工作表1!infor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使用者</dc:creator>
  <cp:lastModifiedBy>Windows 使用者</cp:lastModifiedBy>
  <dcterms:created xsi:type="dcterms:W3CDTF">2018-07-28T07:06:14Z</dcterms:created>
  <dcterms:modified xsi:type="dcterms:W3CDTF">2018-07-28T08:17:10Z</dcterms:modified>
</cp:coreProperties>
</file>