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4\ch04程式\ch04實作\"/>
    </mc:Choice>
  </mc:AlternateContent>
  <bookViews>
    <workbookView xWindow="0" yWindow="0" windowWidth="10050" windowHeight="6825"/>
  </bookViews>
  <sheets>
    <sheet name="工作表1" sheetId="1" r:id="rId1"/>
  </sheets>
  <definedNames>
    <definedName name="UIP003.zh_TW" localSheetId="0">工作表1!#REF!</definedName>
    <definedName name="UIP003.zh_TW_1" localSheetId="0">工作表1!$H$1:$N$21</definedName>
    <definedName name="UIP003.zh_TW_2" localSheetId="0">工作表1!#REF!</definedName>
    <definedName name="UIP003.zh_TW_3" localSheetId="0">工作表1!#REF!</definedName>
    <definedName name="UIP003.zh_TW_4" localSheetId="0">工作表1!#REF!</definedName>
    <definedName name="UIP003.zh_TW_5" localSheetId="0">工作表1!#REF!</definedName>
    <definedName name="UIP003.zh_TW_6" localSheetId="0">工作表1!#REF!</definedName>
    <definedName name="UIP003.zh_TW_7" localSheetId="0">工作表1!$H$1:$N$21</definedName>
    <definedName name="UIP003.zh_TW_8" localSheetId="0">工作表1!$H$1:$N$21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E2" i="1" s="1"/>
</calcChain>
</file>

<file path=xl/connections.xml><?xml version="1.0" encoding="utf-8"?>
<connections xmlns="http://schemas.openxmlformats.org/spreadsheetml/2006/main">
  <connection id="1" name="連線" type="4" refreshedVersion="6" background="1" saveData="1">
    <webPr sourceData="1" parsePre="1" consecutive="1" xl2000="1" url="http://rate.bot.com.tw/Pages/Static/UIP003.zh-TW.htm" htmlTables="1">
      <tables count="1">
        <x v="7"/>
      </tables>
    </webPr>
  </connection>
  <connection id="2" name="連線1" type="4" refreshedVersion="6" background="1" saveData="1">
    <webPr sourceData="1" parsePre="1" consecutive="1" xl2000="1" url="http://rate.bot.com.tw/Pages/Static/UIP003.zh-TW.htm" htmlTables="1">
      <tables count="1">
        <x v="7"/>
      </tables>
    </webPr>
  </connection>
  <connection id="3" name="連線2" type="4" refreshedVersion="6" background="1" saveData="1">
    <webPr sourceData="1" parsePre="1" consecutive="1" xl2000="1" url="http://rate.bot.com.tw/Pages/Static/UIP003.zh-TW.htm" htmlTables="1">
      <tables count="1">
        <x v="7"/>
      </tables>
    </webPr>
  </connection>
</connections>
</file>

<file path=xl/sharedStrings.xml><?xml version="1.0" encoding="utf-8"?>
<sst xmlns="http://schemas.openxmlformats.org/spreadsheetml/2006/main" count="86" uniqueCount="36">
  <si>
    <t>幣別</t>
  </si>
  <si>
    <t>現金匯率</t>
  </si>
  <si>
    <t>即期匯率</t>
  </si>
  <si>
    <t>遠期匯率</t>
  </si>
  <si>
    <t>歷史匯率</t>
  </si>
  <si>
    <t>買入</t>
  </si>
  <si>
    <t>賣出</t>
  </si>
  <si>
    <t>買入/賣出</t>
  </si>
  <si>
    <t xml:space="preserve"> 美金 (USD)</t>
  </si>
  <si>
    <t>查詢</t>
  </si>
  <si>
    <t xml:space="preserve"> 港幣 (HKD)</t>
  </si>
  <si>
    <t xml:space="preserve"> 英鎊 (GBP)</t>
  </si>
  <si>
    <t xml:space="preserve"> 澳幣 (AUD)</t>
  </si>
  <si>
    <t xml:space="preserve"> 加拿大幣 (CAD)</t>
  </si>
  <si>
    <t xml:space="preserve"> 新加坡幣 (SGD)</t>
  </si>
  <si>
    <t xml:space="preserve"> 瑞士法郎 (CHF)</t>
  </si>
  <si>
    <t xml:space="preserve"> 日圓 (JPY)</t>
  </si>
  <si>
    <t xml:space="preserve"> 南非幣 (ZAR)</t>
  </si>
  <si>
    <t>-</t>
  </si>
  <si>
    <t xml:space="preserve"> 瑞典幣 (SEK)</t>
  </si>
  <si>
    <t xml:space="preserve"> 紐元 (NZD)</t>
  </si>
  <si>
    <t xml:space="preserve"> 泰幣 (THB)</t>
  </si>
  <si>
    <t xml:space="preserve"> 菲國比索 (PHP)</t>
  </si>
  <si>
    <t xml:space="preserve"> 印尼幣 (IDR)</t>
  </si>
  <si>
    <t xml:space="preserve"> 歐元 (EUR)</t>
  </si>
  <si>
    <t xml:space="preserve"> 韓元 (KRW)</t>
  </si>
  <si>
    <t xml:space="preserve"> 越南盾 (VND)</t>
  </si>
  <si>
    <t xml:space="preserve"> 馬來幣 (MYR)</t>
  </si>
  <si>
    <t xml:space="preserve"> 人民幣 (CNY)</t>
  </si>
  <si>
    <t>金額</t>
    <phoneticPr fontId="1" type="noConversion"/>
  </si>
  <si>
    <t>幣別</t>
    <phoneticPr fontId="1" type="noConversion"/>
  </si>
  <si>
    <t>報酬(台幣)</t>
    <phoneticPr fontId="1" type="noConversion"/>
  </si>
  <si>
    <t xml:space="preserve"> 美金 (USD)</t>
    <phoneticPr fontId="1" type="noConversion"/>
  </si>
  <si>
    <t>更新日期：</t>
    <phoneticPr fontId="1" type="noConversion"/>
  </si>
  <si>
    <t>買時匯率</t>
    <phoneticPr fontId="1" type="noConversion"/>
  </si>
  <si>
    <t>目前匯率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</si>
</sst>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123825</xdr:rowOff>
        </xdr:from>
        <xdr:to>
          <xdr:col>6</xdr:col>
          <xdr:colOff>457200</xdr:colOff>
          <xdr:row>1</xdr:row>
          <xdr:rowOff>123825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UIP003.zh-TW_8" growShrinkType="overwriteClear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UIP003.zh-TW_7" growShrinkType="overwriteClear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UIP003.zh-TW_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"/>
  <sheetViews>
    <sheetView tabSelected="1" workbookViewId="0">
      <selection activeCell="Q9" sqref="Q9"/>
    </sheetView>
  </sheetViews>
  <sheetFormatPr defaultRowHeight="16.5" x14ac:dyDescent="0.25"/>
  <cols>
    <col min="1" max="2" width="11.625" bestFit="1" customWidth="1"/>
    <col min="3" max="3" width="8.5" customWidth="1"/>
    <col min="4" max="4" width="9.5" bestFit="1" customWidth="1"/>
    <col min="5" max="5" width="10.875" bestFit="1" customWidth="1"/>
    <col min="6" max="7" width="7.25" customWidth="1"/>
    <col min="8" max="8" width="16.375" bestFit="1" customWidth="1"/>
    <col min="9" max="9" width="9.5" bestFit="1" customWidth="1"/>
    <col min="10" max="10" width="8.5" customWidth="1"/>
    <col min="11" max="11" width="9.5" bestFit="1" customWidth="1"/>
    <col min="12" max="12" width="7.5" customWidth="1"/>
    <col min="13" max="13" width="10" bestFit="1" customWidth="1"/>
    <col min="14" max="14" width="9.5" bestFit="1" customWidth="1"/>
  </cols>
  <sheetData>
    <row r="1" spans="1:14" ht="24" customHeight="1" x14ac:dyDescent="0.25">
      <c r="A1" s="1" t="s">
        <v>29</v>
      </c>
      <c r="B1" s="1" t="s">
        <v>30</v>
      </c>
      <c r="C1" s="1" t="s">
        <v>34</v>
      </c>
      <c r="D1" s="1" t="s">
        <v>35</v>
      </c>
      <c r="E1" s="1" t="s">
        <v>31</v>
      </c>
      <c r="H1" t="s">
        <v>0</v>
      </c>
      <c r="I1" t="s">
        <v>1</v>
      </c>
      <c r="K1" t="s">
        <v>2</v>
      </c>
      <c r="M1" t="s">
        <v>3</v>
      </c>
      <c r="N1" t="s">
        <v>4</v>
      </c>
    </row>
    <row r="2" spans="1:14" ht="24" customHeight="1" x14ac:dyDescent="0.25">
      <c r="A2" s="1">
        <v>1000</v>
      </c>
      <c r="B2" s="1" t="s">
        <v>32</v>
      </c>
      <c r="C2" s="1">
        <v>32.54</v>
      </c>
      <c r="D2" s="1">
        <f>VLOOKUP(B2,H3:L21,5,FALSE)</f>
        <v>32.43</v>
      </c>
      <c r="E2" s="1">
        <f>(D2-C2)*A2</f>
        <v>-109.99999999999943</v>
      </c>
      <c r="I2" t="s">
        <v>5</v>
      </c>
      <c r="J2" t="s">
        <v>6</v>
      </c>
      <c r="K2" t="s">
        <v>5</v>
      </c>
      <c r="L2" t="s">
        <v>6</v>
      </c>
      <c r="M2" t="s">
        <v>7</v>
      </c>
    </row>
    <row r="3" spans="1:14" x14ac:dyDescent="0.25">
      <c r="A3" t="s">
        <v>33</v>
      </c>
      <c r="B3" s="2">
        <v>42471</v>
      </c>
      <c r="H3" t="s">
        <v>8</v>
      </c>
      <c r="I3">
        <v>32.03</v>
      </c>
      <c r="J3">
        <v>32.572000000000003</v>
      </c>
      <c r="K3">
        <v>32.33</v>
      </c>
      <c r="L3">
        <v>32.43</v>
      </c>
      <c r="M3" t="s">
        <v>9</v>
      </c>
      <c r="N3" t="s">
        <v>9</v>
      </c>
    </row>
    <row r="4" spans="1:14" x14ac:dyDescent="0.25">
      <c r="H4" t="s">
        <v>10</v>
      </c>
      <c r="I4">
        <v>4.0229999999999997</v>
      </c>
      <c r="J4">
        <v>4.218</v>
      </c>
      <c r="K4">
        <v>4.1429999999999998</v>
      </c>
      <c r="L4">
        <v>4.2030000000000003</v>
      </c>
      <c r="M4" t="s">
        <v>9</v>
      </c>
      <c r="N4" t="s">
        <v>9</v>
      </c>
    </row>
    <row r="5" spans="1:14" x14ac:dyDescent="0.25">
      <c r="H5" t="s">
        <v>11</v>
      </c>
      <c r="I5">
        <v>44.69</v>
      </c>
      <c r="J5">
        <v>46.62</v>
      </c>
      <c r="K5">
        <v>45.56</v>
      </c>
      <c r="L5">
        <v>45.98</v>
      </c>
      <c r="M5" t="s">
        <v>9</v>
      </c>
      <c r="N5" t="s">
        <v>9</v>
      </c>
    </row>
    <row r="6" spans="1:14" x14ac:dyDescent="0.25">
      <c r="H6" t="s">
        <v>12</v>
      </c>
      <c r="I6">
        <v>24.19</v>
      </c>
      <c r="J6">
        <v>24.85</v>
      </c>
      <c r="K6">
        <v>24.38</v>
      </c>
      <c r="L6">
        <v>24.61</v>
      </c>
      <c r="M6" t="s">
        <v>9</v>
      </c>
      <c r="N6" t="s">
        <v>9</v>
      </c>
    </row>
    <row r="7" spans="1:14" x14ac:dyDescent="0.25">
      <c r="H7" t="s">
        <v>13</v>
      </c>
      <c r="I7">
        <v>24.57</v>
      </c>
      <c r="J7">
        <v>25.31</v>
      </c>
      <c r="K7">
        <v>24.84</v>
      </c>
      <c r="L7">
        <v>25.06</v>
      </c>
      <c r="M7" t="s">
        <v>9</v>
      </c>
      <c r="N7" t="s">
        <v>9</v>
      </c>
    </row>
    <row r="8" spans="1:14" x14ac:dyDescent="0.25">
      <c r="H8" t="s">
        <v>14</v>
      </c>
      <c r="I8">
        <v>23.55</v>
      </c>
      <c r="J8">
        <v>24.33</v>
      </c>
      <c r="K8">
        <v>23.97</v>
      </c>
      <c r="L8">
        <v>24.15</v>
      </c>
      <c r="M8" t="s">
        <v>9</v>
      </c>
      <c r="N8" t="s">
        <v>9</v>
      </c>
    </row>
    <row r="9" spans="1:14" x14ac:dyDescent="0.25">
      <c r="H9" t="s">
        <v>15</v>
      </c>
      <c r="I9">
        <v>33.31</v>
      </c>
      <c r="J9">
        <v>34.369999999999997</v>
      </c>
      <c r="K9">
        <v>33.840000000000003</v>
      </c>
      <c r="L9">
        <v>34.130000000000003</v>
      </c>
      <c r="M9" t="s">
        <v>9</v>
      </c>
      <c r="N9" t="s">
        <v>9</v>
      </c>
    </row>
    <row r="10" spans="1:14" x14ac:dyDescent="0.25">
      <c r="H10" t="s">
        <v>16</v>
      </c>
      <c r="I10">
        <v>0.29160000000000003</v>
      </c>
      <c r="J10">
        <v>0.30259999999999998</v>
      </c>
      <c r="K10">
        <v>0.29799999999999999</v>
      </c>
      <c r="L10">
        <v>0.30199999999999999</v>
      </c>
      <c r="M10" t="s">
        <v>9</v>
      </c>
      <c r="N10" t="s">
        <v>9</v>
      </c>
    </row>
    <row r="11" spans="1:14" x14ac:dyDescent="0.25">
      <c r="H11" t="s">
        <v>17</v>
      </c>
      <c r="I11" t="s">
        <v>18</v>
      </c>
      <c r="J11" t="s">
        <v>18</v>
      </c>
      <c r="K11">
        <v>2.12</v>
      </c>
      <c r="L11">
        <v>2.2200000000000002</v>
      </c>
      <c r="M11" t="s">
        <v>9</v>
      </c>
      <c r="N11" t="s">
        <v>9</v>
      </c>
    </row>
    <row r="12" spans="1:14" x14ac:dyDescent="0.25">
      <c r="H12" t="s">
        <v>19</v>
      </c>
      <c r="I12">
        <v>3.59</v>
      </c>
      <c r="J12">
        <v>4.0999999999999996</v>
      </c>
      <c r="K12">
        <v>3.93</v>
      </c>
      <c r="L12">
        <v>4.03</v>
      </c>
      <c r="M12" t="s">
        <v>9</v>
      </c>
      <c r="N12" t="s">
        <v>9</v>
      </c>
    </row>
    <row r="13" spans="1:14" x14ac:dyDescent="0.25">
      <c r="H13" t="s">
        <v>20</v>
      </c>
      <c r="I13">
        <v>21.74</v>
      </c>
      <c r="J13">
        <v>22.37</v>
      </c>
      <c r="K13">
        <v>21.98</v>
      </c>
      <c r="L13">
        <v>22.18</v>
      </c>
      <c r="M13" t="s">
        <v>9</v>
      </c>
      <c r="N13" t="s">
        <v>9</v>
      </c>
    </row>
    <row r="14" spans="1:14" x14ac:dyDescent="0.25">
      <c r="H14" t="s">
        <v>21</v>
      </c>
      <c r="I14">
        <v>0.82010000000000005</v>
      </c>
      <c r="J14">
        <v>0.96309999999999996</v>
      </c>
      <c r="K14">
        <v>0.90859999999999996</v>
      </c>
      <c r="L14">
        <v>0.9486</v>
      </c>
      <c r="M14" t="s">
        <v>9</v>
      </c>
      <c r="N14" t="s">
        <v>9</v>
      </c>
    </row>
    <row r="15" spans="1:14" x14ac:dyDescent="0.25">
      <c r="H15" t="s">
        <v>22</v>
      </c>
      <c r="I15">
        <v>0.65349999999999997</v>
      </c>
      <c r="J15">
        <v>0.78649999999999998</v>
      </c>
      <c r="K15" t="s">
        <v>18</v>
      </c>
      <c r="L15" t="s">
        <v>18</v>
      </c>
      <c r="M15" t="s">
        <v>9</v>
      </c>
      <c r="N15" t="s">
        <v>9</v>
      </c>
    </row>
    <row r="16" spans="1:14" x14ac:dyDescent="0.25">
      <c r="H16" t="s">
        <v>23</v>
      </c>
      <c r="I16">
        <v>2.1299999999999999E-3</v>
      </c>
      <c r="J16">
        <v>2.8300000000000001E-3</v>
      </c>
      <c r="K16" t="s">
        <v>18</v>
      </c>
      <c r="L16" t="s">
        <v>18</v>
      </c>
      <c r="M16" t="s">
        <v>9</v>
      </c>
      <c r="N16" t="s">
        <v>9</v>
      </c>
    </row>
    <row r="17" spans="8:14" x14ac:dyDescent="0.25">
      <c r="H17" t="s">
        <v>24</v>
      </c>
      <c r="I17">
        <v>36.25</v>
      </c>
      <c r="J17">
        <v>37.4</v>
      </c>
      <c r="K17">
        <v>36.75</v>
      </c>
      <c r="L17">
        <v>37.15</v>
      </c>
      <c r="M17" t="s">
        <v>9</v>
      </c>
      <c r="N17" t="s">
        <v>9</v>
      </c>
    </row>
    <row r="18" spans="8:14" x14ac:dyDescent="0.25">
      <c r="H18" t="s">
        <v>25</v>
      </c>
      <c r="I18">
        <v>2.648E-2</v>
      </c>
      <c r="J18">
        <v>3.0380000000000001E-2</v>
      </c>
      <c r="K18" t="s">
        <v>18</v>
      </c>
      <c r="L18" t="s">
        <v>18</v>
      </c>
      <c r="M18" t="s">
        <v>9</v>
      </c>
      <c r="N18" t="s">
        <v>9</v>
      </c>
    </row>
    <row r="19" spans="8:14" x14ac:dyDescent="0.25">
      <c r="H19" t="s">
        <v>26</v>
      </c>
      <c r="I19">
        <v>1.08E-3</v>
      </c>
      <c r="J19">
        <v>1.58E-3</v>
      </c>
      <c r="K19" t="s">
        <v>18</v>
      </c>
      <c r="L19" t="s">
        <v>18</v>
      </c>
      <c r="M19" t="s">
        <v>9</v>
      </c>
      <c r="N19" t="s">
        <v>9</v>
      </c>
    </row>
    <row r="20" spans="8:14" x14ac:dyDescent="0.25">
      <c r="H20" t="s">
        <v>27</v>
      </c>
      <c r="I20">
        <v>7.1070000000000002</v>
      </c>
      <c r="J20">
        <v>8.9019999999999992</v>
      </c>
      <c r="K20" t="s">
        <v>18</v>
      </c>
      <c r="L20" t="s">
        <v>18</v>
      </c>
      <c r="M20" t="s">
        <v>9</v>
      </c>
      <c r="N20" t="s">
        <v>9</v>
      </c>
    </row>
    <row r="21" spans="8:14" x14ac:dyDescent="0.25">
      <c r="H21" t="s">
        <v>28</v>
      </c>
      <c r="I21">
        <v>4.9029999999999996</v>
      </c>
      <c r="J21">
        <v>5.0650000000000004</v>
      </c>
      <c r="K21">
        <v>4.9749999999999996</v>
      </c>
      <c r="L21">
        <v>5.0250000000000004</v>
      </c>
      <c r="M21" t="s">
        <v>9</v>
      </c>
      <c r="N21" t="s">
        <v>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autoLine="0" r:id="rId5">
            <anchor moveWithCells="1">
              <from>
                <xdr:col>5</xdr:col>
                <xdr:colOff>95250</xdr:colOff>
                <xdr:row>0</xdr:row>
                <xdr:rowOff>123825</xdr:rowOff>
              </from>
              <to>
                <xdr:col>6</xdr:col>
                <xdr:colOff>457200</xdr:colOff>
                <xdr:row>1</xdr:row>
                <xdr:rowOff>123825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3</vt:i4>
      </vt:variant>
    </vt:vector>
  </HeadingPairs>
  <TitlesOfParts>
    <vt:vector size="4" baseType="lpstr">
      <vt:lpstr>工作表1</vt:lpstr>
      <vt:lpstr>工作表1!UIP003.zh_TW_1</vt:lpstr>
      <vt:lpstr>工作表1!UIP003.zh_TW_7</vt:lpstr>
      <vt:lpstr>工作表1!UIP003.zh_TW_8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2016-03-14T02:02:19Z</dcterms:created>
  <dcterms:modified xsi:type="dcterms:W3CDTF">2016-04-11T03:16:51Z</dcterms:modified>
</cp:coreProperties>
</file>