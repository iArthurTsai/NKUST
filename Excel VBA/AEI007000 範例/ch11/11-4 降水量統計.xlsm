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0Excel VBA新手入門\ch11\ch11\"/>
    </mc:Choice>
  </mc:AlternateContent>
  <xr:revisionPtr revIDLastSave="0" documentId="13_ncr:1_{B77358DF-C47E-471D-AEF8-4963110B1B88}" xr6:coauthVersionLast="47" xr6:coauthVersionMax="47" xr10:uidLastSave="{00000000-0000-0000-0000-000000000000}"/>
  <bookViews>
    <workbookView xWindow="-120" yWindow="-120" windowWidth="20730" windowHeight="11160" xr2:uid="{BA3E29F6-79A6-43F4-9A47-F166B7B63BB3}"/>
  </bookViews>
  <sheets>
    <sheet name="工作表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6" i="1" l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N4" i="1"/>
  <c r="N3" i="1"/>
  <c r="N2" i="1"/>
</calcChain>
</file>

<file path=xl/sharedStrings.xml><?xml version="1.0" encoding="utf-8"?>
<sst xmlns="http://schemas.openxmlformats.org/spreadsheetml/2006/main" count="38" uniqueCount="38">
  <si>
    <t>一月</t>
  </si>
  <si>
    <t>二月</t>
  </si>
  <si>
    <t>三月</t>
  </si>
  <si>
    <t>四月</t>
  </si>
  <si>
    <t>五月</t>
  </si>
  <si>
    <t>六月</t>
  </si>
  <si>
    <t>七月</t>
  </si>
  <si>
    <t>八月</t>
  </si>
  <si>
    <t>九月</t>
  </si>
  <si>
    <t>十月</t>
  </si>
  <si>
    <t>十一月</t>
  </si>
  <si>
    <t>十二月</t>
  </si>
  <si>
    <t>淡水</t>
  </si>
  <si>
    <t>鞍部</t>
  </si>
  <si>
    <t>臺北</t>
  </si>
  <si>
    <t>竹子湖</t>
  </si>
  <si>
    <t>基隆</t>
  </si>
  <si>
    <t>彭佳嶼</t>
  </si>
  <si>
    <t>花蓮</t>
  </si>
  <si>
    <t>蘇澳</t>
  </si>
  <si>
    <t>宜蘭</t>
  </si>
  <si>
    <t>東吉島</t>
  </si>
  <si>
    <t>澎湖</t>
  </si>
  <si>
    <t>臺南</t>
  </si>
  <si>
    <t>高雄</t>
  </si>
  <si>
    <t>嘉義</t>
  </si>
  <si>
    <t>臺中</t>
  </si>
  <si>
    <t>阿里山</t>
  </si>
  <si>
    <t>大武</t>
  </si>
  <si>
    <t>玉山</t>
  </si>
  <si>
    <t>新竹</t>
  </si>
  <si>
    <t>恆春</t>
  </si>
  <si>
    <t>成功</t>
  </si>
  <si>
    <t>蘭嶼</t>
  </si>
  <si>
    <t>日月潭</t>
  </si>
  <si>
    <t>臺東</t>
  </si>
  <si>
    <t>梧棲</t>
  </si>
  <si>
    <t>中位數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</si>
</sst>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0" fontId="0" fillId="2" borderId="1" xfId="0" applyFill="1" applyBorder="1">
      <alignment vertical="center"/>
    </xf>
    <xf numFmtId="176" fontId="0" fillId="0" borderId="1" xfId="0" applyNumberFormat="1" applyFill="1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0</xdr:row>
          <xdr:rowOff>28575</xdr:rowOff>
        </xdr:from>
        <xdr:to>
          <xdr:col>14</xdr:col>
          <xdr:colOff>466725</xdr:colOff>
          <xdr:row>1</xdr:row>
          <xdr:rowOff>9525</xdr:rowOff>
        </xdr:to>
        <xdr:sp macro="" textlink="">
          <xdr:nvSpPr>
            <xdr:cNvPr id="1025" name="Spin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D7556-56A8-4E4E-897E-D76B5A035CC2}">
  <sheetPr codeName="工作表1"/>
  <dimension ref="A1:N26"/>
  <sheetViews>
    <sheetView tabSelected="1" workbookViewId="0">
      <selection activeCell="P10" sqref="P10"/>
    </sheetView>
  </sheetViews>
  <sheetFormatPr defaultRowHeight="16.5" x14ac:dyDescent="0.25"/>
  <cols>
    <col min="2" max="14" width="7.5" customWidth="1"/>
  </cols>
  <sheetData>
    <row r="1" spans="1:14" x14ac:dyDescent="0.25">
      <c r="A1" s="1"/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37</v>
      </c>
    </row>
    <row r="2" spans="1:14" x14ac:dyDescent="0.25">
      <c r="A2" s="3" t="s">
        <v>12</v>
      </c>
      <c r="B2" s="4">
        <v>105.9</v>
      </c>
      <c r="C2" s="4">
        <v>148</v>
      </c>
      <c r="D2" s="4">
        <v>153.4</v>
      </c>
      <c r="E2" s="4">
        <v>157.6</v>
      </c>
      <c r="F2" s="4">
        <v>239.8</v>
      </c>
      <c r="G2" s="4">
        <v>257.39999999999998</v>
      </c>
      <c r="H2" s="4">
        <v>119.8</v>
      </c>
      <c r="I2" s="4">
        <v>218.3</v>
      </c>
      <c r="J2" s="4">
        <v>290.10000000000002</v>
      </c>
      <c r="K2" s="4">
        <v>165.8</v>
      </c>
      <c r="L2" s="4">
        <v>104.2</v>
      </c>
      <c r="M2" s="4">
        <v>112.4</v>
      </c>
      <c r="N2" s="2">
        <f>MEDIAN($B2:$M2)</f>
        <v>155.5</v>
      </c>
    </row>
    <row r="3" spans="1:14" x14ac:dyDescent="0.25">
      <c r="A3" s="3" t="s">
        <v>13</v>
      </c>
      <c r="B3" s="4">
        <v>296.7</v>
      </c>
      <c r="C3" s="4">
        <v>291.3</v>
      </c>
      <c r="D3" s="4">
        <v>246.7</v>
      </c>
      <c r="E3" s="4">
        <v>222.3</v>
      </c>
      <c r="F3" s="4">
        <v>334</v>
      </c>
      <c r="G3" s="4">
        <v>341.1</v>
      </c>
      <c r="H3" s="4">
        <v>230.9</v>
      </c>
      <c r="I3" s="4">
        <v>400.8</v>
      </c>
      <c r="J3" s="4">
        <v>724.6</v>
      </c>
      <c r="K3" s="4">
        <v>683.6</v>
      </c>
      <c r="L3" s="4">
        <v>502.5</v>
      </c>
      <c r="M3" s="4">
        <v>422.6</v>
      </c>
      <c r="N3" s="2">
        <f>MEDIAN($B3:$M3)</f>
        <v>337.55</v>
      </c>
    </row>
    <row r="4" spans="1:14" x14ac:dyDescent="0.25">
      <c r="A4" s="3" t="s">
        <v>14</v>
      </c>
      <c r="B4" s="4">
        <v>93.8</v>
      </c>
      <c r="C4" s="4">
        <v>129.4</v>
      </c>
      <c r="D4" s="4">
        <v>157.80000000000001</v>
      </c>
      <c r="E4" s="4">
        <v>151.4</v>
      </c>
      <c r="F4" s="4">
        <v>245.2</v>
      </c>
      <c r="G4" s="4">
        <v>354.6</v>
      </c>
      <c r="H4" s="4">
        <v>214.2</v>
      </c>
      <c r="I4" s="4">
        <v>336.5</v>
      </c>
      <c r="J4" s="4">
        <v>336.8</v>
      </c>
      <c r="K4" s="4">
        <v>162.6</v>
      </c>
      <c r="L4" s="4">
        <v>89.3</v>
      </c>
      <c r="M4" s="4">
        <v>96.9</v>
      </c>
      <c r="N4" s="2">
        <f>MEDIAN($B4:$M4)</f>
        <v>160.19999999999999</v>
      </c>
    </row>
    <row r="5" spans="1:14" x14ac:dyDescent="0.25">
      <c r="A5" s="3" t="s">
        <v>15</v>
      </c>
      <c r="B5" s="4">
        <v>220</v>
      </c>
      <c r="C5" s="4">
        <v>233.1</v>
      </c>
      <c r="D5" s="4">
        <v>193.1</v>
      </c>
      <c r="E5" s="4">
        <v>176.5</v>
      </c>
      <c r="F5" s="4">
        <v>279</v>
      </c>
      <c r="G5" s="4">
        <v>310.60000000000002</v>
      </c>
      <c r="H5" s="4">
        <v>215.7</v>
      </c>
      <c r="I5" s="4">
        <v>414.4</v>
      </c>
      <c r="J5" s="4">
        <v>662.8</v>
      </c>
      <c r="K5" s="4">
        <v>649.70000000000005</v>
      </c>
      <c r="L5" s="4">
        <v>430.6</v>
      </c>
      <c r="M5" s="4">
        <v>358.2</v>
      </c>
      <c r="N5" s="2">
        <f>MEDIAN($B5:$M5)</f>
        <v>294.8</v>
      </c>
    </row>
    <row r="6" spans="1:14" x14ac:dyDescent="0.25">
      <c r="A6" s="3" t="s">
        <v>16</v>
      </c>
      <c r="B6" s="4">
        <v>327.8</v>
      </c>
      <c r="C6" s="4">
        <v>349.8</v>
      </c>
      <c r="D6" s="4">
        <v>274.39999999999998</v>
      </c>
      <c r="E6" s="4">
        <v>211</v>
      </c>
      <c r="F6" s="4">
        <v>284.10000000000002</v>
      </c>
      <c r="G6" s="4">
        <v>290.39999999999998</v>
      </c>
      <c r="H6" s="4">
        <v>119.5</v>
      </c>
      <c r="I6" s="4">
        <v>211.4</v>
      </c>
      <c r="J6" s="4">
        <v>390.1</v>
      </c>
      <c r="K6" s="4">
        <v>377.6</v>
      </c>
      <c r="L6" s="4">
        <v>396.9</v>
      </c>
      <c r="M6" s="4">
        <v>356.6</v>
      </c>
      <c r="N6" s="2">
        <f>MEDIAN($B6:$M6)</f>
        <v>309.10000000000002</v>
      </c>
    </row>
    <row r="7" spans="1:14" x14ac:dyDescent="0.25">
      <c r="A7" s="3" t="s">
        <v>17</v>
      </c>
      <c r="B7" s="4">
        <v>115.9</v>
      </c>
      <c r="C7" s="4">
        <v>122.2</v>
      </c>
      <c r="D7" s="4">
        <v>134.9</v>
      </c>
      <c r="E7" s="4">
        <v>130</v>
      </c>
      <c r="F7" s="4">
        <v>193.8</v>
      </c>
      <c r="G7" s="4">
        <v>190.9</v>
      </c>
      <c r="H7" s="4">
        <v>109.6</v>
      </c>
      <c r="I7" s="4">
        <v>185.9</v>
      </c>
      <c r="J7" s="4">
        <v>196.7</v>
      </c>
      <c r="K7" s="4">
        <v>124.5</v>
      </c>
      <c r="L7" s="4">
        <v>121.9</v>
      </c>
      <c r="M7" s="4">
        <v>127</v>
      </c>
      <c r="N7" s="2">
        <f>MEDIAN($B7:$M7)</f>
        <v>128.5</v>
      </c>
    </row>
    <row r="8" spans="1:14" x14ac:dyDescent="0.25">
      <c r="A8" s="3" t="s">
        <v>18</v>
      </c>
      <c r="B8" s="4">
        <v>57.6</v>
      </c>
      <c r="C8" s="4">
        <v>74.7</v>
      </c>
      <c r="D8" s="4">
        <v>76.7</v>
      </c>
      <c r="E8" s="4">
        <v>76.599999999999994</v>
      </c>
      <c r="F8" s="4">
        <v>186.9</v>
      </c>
      <c r="G8" s="4">
        <v>165.5</v>
      </c>
      <c r="H8" s="4">
        <v>198.5</v>
      </c>
      <c r="I8" s="4">
        <v>258.8</v>
      </c>
      <c r="J8" s="4">
        <v>329.9</v>
      </c>
      <c r="K8" s="4">
        <v>350.6</v>
      </c>
      <c r="L8" s="4">
        <v>175.1</v>
      </c>
      <c r="M8" s="4">
        <v>83.6</v>
      </c>
      <c r="N8" s="2">
        <f>MEDIAN($B8:$M8)</f>
        <v>170.3</v>
      </c>
    </row>
    <row r="9" spans="1:14" x14ac:dyDescent="0.25">
      <c r="A9" s="3" t="s">
        <v>19</v>
      </c>
      <c r="B9" s="4">
        <v>378.6</v>
      </c>
      <c r="C9" s="4">
        <v>293.7</v>
      </c>
      <c r="D9" s="4">
        <v>193.6</v>
      </c>
      <c r="E9" s="4">
        <v>184.3</v>
      </c>
      <c r="F9" s="4">
        <v>266.60000000000002</v>
      </c>
      <c r="G9" s="4">
        <v>229.9</v>
      </c>
      <c r="H9" s="4">
        <v>165.8</v>
      </c>
      <c r="I9" s="4">
        <v>268.5</v>
      </c>
      <c r="J9" s="4">
        <v>450.1</v>
      </c>
      <c r="K9" s="4">
        <v>714.1</v>
      </c>
      <c r="L9" s="4">
        <v>705.7</v>
      </c>
      <c r="M9" s="4">
        <v>584.29999999999995</v>
      </c>
      <c r="N9" s="2">
        <f>MEDIAN($B9:$M9)</f>
        <v>281.10000000000002</v>
      </c>
    </row>
    <row r="10" spans="1:14" x14ac:dyDescent="0.25">
      <c r="A10" s="3" t="s">
        <v>20</v>
      </c>
      <c r="B10" s="4">
        <v>155.19999999999999</v>
      </c>
      <c r="C10" s="4">
        <v>147</v>
      </c>
      <c r="D10" s="4">
        <v>115.2</v>
      </c>
      <c r="E10" s="4">
        <v>125.5</v>
      </c>
      <c r="F10" s="4">
        <v>222.5</v>
      </c>
      <c r="G10" s="4">
        <v>189.6</v>
      </c>
      <c r="H10" s="4">
        <v>140.19999999999999</v>
      </c>
      <c r="I10" s="4">
        <v>243.4</v>
      </c>
      <c r="J10" s="4">
        <v>409.6</v>
      </c>
      <c r="K10" s="4">
        <v>428.1</v>
      </c>
      <c r="L10" s="4">
        <v>335.8</v>
      </c>
      <c r="M10" s="4">
        <v>232.2</v>
      </c>
      <c r="N10" s="2">
        <f>MEDIAN($B10:$M10)</f>
        <v>206.05</v>
      </c>
    </row>
    <row r="11" spans="1:14" x14ac:dyDescent="0.25">
      <c r="A11" s="3" t="s">
        <v>21</v>
      </c>
      <c r="B11" s="4">
        <v>21.8</v>
      </c>
      <c r="C11" s="4">
        <v>28.9</v>
      </c>
      <c r="D11" s="4">
        <v>38.4</v>
      </c>
      <c r="E11" s="4">
        <v>70.8</v>
      </c>
      <c r="F11" s="4">
        <v>117.3</v>
      </c>
      <c r="G11" s="4">
        <v>183.9</v>
      </c>
      <c r="H11" s="4">
        <v>189.9</v>
      </c>
      <c r="I11" s="4">
        <v>243.3</v>
      </c>
      <c r="J11" s="4">
        <v>108.2</v>
      </c>
      <c r="K11" s="4">
        <v>35.6</v>
      </c>
      <c r="L11" s="4">
        <v>32.9</v>
      </c>
      <c r="M11" s="4">
        <v>26.1</v>
      </c>
      <c r="N11" s="2">
        <f>MEDIAN($B11:$M11)</f>
        <v>54.599999999999994</v>
      </c>
    </row>
    <row r="12" spans="1:14" x14ac:dyDescent="0.25">
      <c r="A12" s="3" t="s">
        <v>22</v>
      </c>
      <c r="B12" s="4">
        <v>20.9</v>
      </c>
      <c r="C12" s="4">
        <v>38.1</v>
      </c>
      <c r="D12" s="4">
        <v>50.7</v>
      </c>
      <c r="E12" s="4">
        <v>77.900000000000006</v>
      </c>
      <c r="F12" s="4">
        <v>117.8</v>
      </c>
      <c r="G12" s="4">
        <v>148</v>
      </c>
      <c r="H12" s="4">
        <v>163.19999999999999</v>
      </c>
      <c r="I12" s="4">
        <v>229.4</v>
      </c>
      <c r="J12" s="4">
        <v>100.3</v>
      </c>
      <c r="K12" s="4">
        <v>30.1</v>
      </c>
      <c r="L12" s="4">
        <v>26</v>
      </c>
      <c r="M12" s="4">
        <v>28.1</v>
      </c>
      <c r="N12" s="2">
        <f>MEDIAN($B12:$M12)</f>
        <v>64.300000000000011</v>
      </c>
    </row>
    <row r="13" spans="1:14" x14ac:dyDescent="0.25">
      <c r="A13" s="3" t="s">
        <v>23</v>
      </c>
      <c r="B13" s="4">
        <v>20.9</v>
      </c>
      <c r="C13" s="4">
        <v>23.7</v>
      </c>
      <c r="D13" s="4">
        <v>31.1</v>
      </c>
      <c r="E13" s="4">
        <v>69.099999999999994</v>
      </c>
      <c r="F13" s="4">
        <v>160.1</v>
      </c>
      <c r="G13" s="4">
        <v>369.5</v>
      </c>
      <c r="H13" s="4">
        <v>353.5</v>
      </c>
      <c r="I13" s="4">
        <v>478.9</v>
      </c>
      <c r="J13" s="4">
        <v>167.6</v>
      </c>
      <c r="K13" s="4">
        <v>24.6</v>
      </c>
      <c r="L13" s="4">
        <v>26.9</v>
      </c>
      <c r="M13" s="4">
        <v>15.6</v>
      </c>
      <c r="N13" s="2">
        <f>MEDIAN($B13:$M13)</f>
        <v>50.099999999999994</v>
      </c>
    </row>
    <row r="14" spans="1:14" x14ac:dyDescent="0.25">
      <c r="A14" s="3" t="s">
        <v>24</v>
      </c>
      <c r="B14" s="4">
        <v>19.100000000000001</v>
      </c>
      <c r="C14" s="4">
        <v>17.7</v>
      </c>
      <c r="D14" s="4">
        <v>32.299999999999997</v>
      </c>
      <c r="E14" s="4">
        <v>68.400000000000006</v>
      </c>
      <c r="F14" s="4">
        <v>202.2</v>
      </c>
      <c r="G14" s="4">
        <v>416.2</v>
      </c>
      <c r="H14" s="4">
        <v>377.2</v>
      </c>
      <c r="I14" s="4">
        <v>512.4</v>
      </c>
      <c r="J14" s="4">
        <v>224.5</v>
      </c>
      <c r="K14" s="4">
        <v>53.4</v>
      </c>
      <c r="L14" s="4">
        <v>25.6</v>
      </c>
      <c r="M14" s="4">
        <v>19.2</v>
      </c>
      <c r="N14" s="2">
        <f>MEDIAN($B14:$M14)</f>
        <v>60.900000000000006</v>
      </c>
    </row>
    <row r="15" spans="1:14" x14ac:dyDescent="0.25">
      <c r="A15" s="3" t="s">
        <v>25</v>
      </c>
      <c r="B15" s="4">
        <v>27.5</v>
      </c>
      <c r="C15" s="4">
        <v>44.9</v>
      </c>
      <c r="D15" s="4">
        <v>53</v>
      </c>
      <c r="E15" s="4">
        <v>86.6</v>
      </c>
      <c r="F15" s="4">
        <v>170</v>
      </c>
      <c r="G15" s="4">
        <v>318.60000000000002</v>
      </c>
      <c r="H15" s="4">
        <v>387.4</v>
      </c>
      <c r="I15" s="4">
        <v>443.8</v>
      </c>
      <c r="J15" s="4">
        <v>212.3</v>
      </c>
      <c r="K15" s="4">
        <v>30.2</v>
      </c>
      <c r="L15" s="4">
        <v>21.5</v>
      </c>
      <c r="M15" s="4">
        <v>25.8</v>
      </c>
      <c r="N15" s="2">
        <f>MEDIAN($B15:$M15)</f>
        <v>69.8</v>
      </c>
    </row>
    <row r="16" spans="1:14" x14ac:dyDescent="0.25">
      <c r="A16" s="3" t="s">
        <v>26</v>
      </c>
      <c r="B16" s="4">
        <v>36.6</v>
      </c>
      <c r="C16" s="4">
        <v>63</v>
      </c>
      <c r="D16" s="4">
        <v>86.9</v>
      </c>
      <c r="E16" s="4">
        <v>126.8</v>
      </c>
      <c r="F16" s="4">
        <v>249.6</v>
      </c>
      <c r="G16" s="4">
        <v>329</v>
      </c>
      <c r="H16" s="4">
        <v>303.3</v>
      </c>
      <c r="I16" s="4">
        <v>340.8</v>
      </c>
      <c r="J16" s="4">
        <v>147.5</v>
      </c>
      <c r="K16" s="4">
        <v>25</v>
      </c>
      <c r="L16" s="4">
        <v>23.8</v>
      </c>
      <c r="M16" s="4">
        <v>30.5</v>
      </c>
      <c r="N16" s="2">
        <f>MEDIAN($B16:$M16)</f>
        <v>106.85</v>
      </c>
    </row>
    <row r="17" spans="1:14" x14ac:dyDescent="0.25">
      <c r="A17" s="3" t="s">
        <v>27</v>
      </c>
      <c r="B17" s="4">
        <v>86.8</v>
      </c>
      <c r="C17" s="4">
        <v>109.9</v>
      </c>
      <c r="D17" s="4">
        <v>146.6</v>
      </c>
      <c r="E17" s="4">
        <v>223.9</v>
      </c>
      <c r="F17" s="4">
        <v>510.4</v>
      </c>
      <c r="G17" s="4">
        <v>674.7</v>
      </c>
      <c r="H17" s="4">
        <v>694.7</v>
      </c>
      <c r="I17" s="4">
        <v>813.1</v>
      </c>
      <c r="J17" s="4">
        <v>402.7</v>
      </c>
      <c r="K17" s="4">
        <v>141.19999999999999</v>
      </c>
      <c r="L17" s="4">
        <v>66.900000000000006</v>
      </c>
      <c r="M17" s="4">
        <v>69.7</v>
      </c>
      <c r="N17" s="2">
        <f>MEDIAN($B17:$M17)</f>
        <v>185.25</v>
      </c>
    </row>
    <row r="18" spans="1:14" x14ac:dyDescent="0.25">
      <c r="A18" s="3" t="s">
        <v>28</v>
      </c>
      <c r="B18" s="4">
        <v>42.5</v>
      </c>
      <c r="C18" s="4">
        <v>44.3</v>
      </c>
      <c r="D18" s="4">
        <v>42.8</v>
      </c>
      <c r="E18" s="4">
        <v>72.400000000000006</v>
      </c>
      <c r="F18" s="4">
        <v>174.7</v>
      </c>
      <c r="G18" s="4">
        <v>367.5</v>
      </c>
      <c r="H18" s="4">
        <v>388.1</v>
      </c>
      <c r="I18" s="4">
        <v>458.2</v>
      </c>
      <c r="J18" s="4">
        <v>391.4</v>
      </c>
      <c r="K18" s="4">
        <v>203.3</v>
      </c>
      <c r="L18" s="4">
        <v>92.9</v>
      </c>
      <c r="M18" s="4">
        <v>46.4</v>
      </c>
      <c r="N18" s="2">
        <f>MEDIAN($B18:$M18)</f>
        <v>133.80000000000001</v>
      </c>
    </row>
    <row r="19" spans="1:14" x14ac:dyDescent="0.25">
      <c r="A19" s="3" t="s">
        <v>29</v>
      </c>
      <c r="B19" s="4">
        <v>83.7</v>
      </c>
      <c r="C19" s="4">
        <v>67.2</v>
      </c>
      <c r="D19" s="4">
        <v>94.8</v>
      </c>
      <c r="E19" s="4">
        <v>201.2</v>
      </c>
      <c r="F19" s="4">
        <v>423.6</v>
      </c>
      <c r="G19" s="4">
        <v>459.6</v>
      </c>
      <c r="H19" s="4">
        <v>434.2</v>
      </c>
      <c r="I19" s="4">
        <v>516</v>
      </c>
      <c r="J19" s="4">
        <v>297.2</v>
      </c>
      <c r="K19" s="4">
        <v>145.1</v>
      </c>
      <c r="L19" s="4">
        <v>98.3</v>
      </c>
      <c r="M19" s="4">
        <v>81.599999999999994</v>
      </c>
      <c r="N19" s="2">
        <f>MEDIAN($B19:$M19)</f>
        <v>173.14999999999998</v>
      </c>
    </row>
    <row r="20" spans="1:14" x14ac:dyDescent="0.25">
      <c r="A20" s="3" t="s">
        <v>30</v>
      </c>
      <c r="B20" s="4">
        <v>75.7</v>
      </c>
      <c r="C20" s="4">
        <v>123</v>
      </c>
      <c r="D20" s="4">
        <v>159.80000000000001</v>
      </c>
      <c r="E20" s="4">
        <v>161.9</v>
      </c>
      <c r="F20" s="4">
        <v>249</v>
      </c>
      <c r="G20" s="4">
        <v>252</v>
      </c>
      <c r="H20" s="4">
        <v>120.2</v>
      </c>
      <c r="I20" s="4">
        <v>197.1</v>
      </c>
      <c r="J20" s="4">
        <v>174.5</v>
      </c>
      <c r="K20" s="4">
        <v>53.6</v>
      </c>
      <c r="L20" s="4">
        <v>51.1</v>
      </c>
      <c r="M20" s="4">
        <v>57.7</v>
      </c>
      <c r="N20" s="2">
        <f>MEDIAN($B20:$M20)</f>
        <v>141.4</v>
      </c>
    </row>
    <row r="21" spans="1:14" x14ac:dyDescent="0.25">
      <c r="A21" s="3" t="s">
        <v>31</v>
      </c>
      <c r="B21" s="4">
        <v>21.8</v>
      </c>
      <c r="C21" s="4">
        <v>23.2</v>
      </c>
      <c r="D21" s="4">
        <v>16</v>
      </c>
      <c r="E21" s="4">
        <v>35.200000000000003</v>
      </c>
      <c r="F21" s="4">
        <v>146.6</v>
      </c>
      <c r="G21" s="4">
        <v>350.7</v>
      </c>
      <c r="H21" s="4">
        <v>391.3</v>
      </c>
      <c r="I21" s="4">
        <v>533.4</v>
      </c>
      <c r="J21" s="4">
        <v>320.3</v>
      </c>
      <c r="K21" s="4">
        <v>125.3</v>
      </c>
      <c r="L21" s="4">
        <v>58.3</v>
      </c>
      <c r="M21" s="4">
        <v>29</v>
      </c>
      <c r="N21" s="2">
        <f>MEDIAN($B21:$M21)</f>
        <v>91.8</v>
      </c>
    </row>
    <row r="22" spans="1:14" x14ac:dyDescent="0.25">
      <c r="A22" s="3" t="s">
        <v>32</v>
      </c>
      <c r="B22" s="4">
        <v>67.3</v>
      </c>
      <c r="C22" s="4">
        <v>70.099999999999994</v>
      </c>
      <c r="D22" s="4">
        <v>70.099999999999994</v>
      </c>
      <c r="E22" s="4">
        <v>88.3</v>
      </c>
      <c r="F22" s="4">
        <v>159.80000000000001</v>
      </c>
      <c r="G22" s="4">
        <v>170.8</v>
      </c>
      <c r="H22" s="4">
        <v>245.5</v>
      </c>
      <c r="I22" s="4">
        <v>342.2</v>
      </c>
      <c r="J22" s="4">
        <v>329.3</v>
      </c>
      <c r="K22" s="4">
        <v>283.10000000000002</v>
      </c>
      <c r="L22" s="4">
        <v>153.30000000000001</v>
      </c>
      <c r="M22" s="4">
        <v>87.2</v>
      </c>
      <c r="N22" s="2">
        <f>MEDIAN($B22:$M22)</f>
        <v>156.55000000000001</v>
      </c>
    </row>
    <row r="23" spans="1:14" x14ac:dyDescent="0.25">
      <c r="A23" s="3" t="s">
        <v>33</v>
      </c>
      <c r="B23" s="4">
        <v>249.9</v>
      </c>
      <c r="C23" s="4">
        <v>190.7</v>
      </c>
      <c r="D23" s="4">
        <v>135.19999999999999</v>
      </c>
      <c r="E23" s="4">
        <v>142.9</v>
      </c>
      <c r="F23" s="4">
        <v>247.2</v>
      </c>
      <c r="G23" s="4">
        <v>245.8</v>
      </c>
      <c r="H23" s="4">
        <v>252</v>
      </c>
      <c r="I23" s="4">
        <v>328.8</v>
      </c>
      <c r="J23" s="4">
        <v>361.1</v>
      </c>
      <c r="K23" s="4">
        <v>299</v>
      </c>
      <c r="L23" s="4">
        <v>282.60000000000002</v>
      </c>
      <c r="M23" s="4">
        <v>243.5</v>
      </c>
      <c r="N23" s="2">
        <f>MEDIAN($B23:$M23)</f>
        <v>248.55</v>
      </c>
    </row>
    <row r="24" spans="1:14" x14ac:dyDescent="0.25">
      <c r="A24" s="3" t="s">
        <v>34</v>
      </c>
      <c r="B24" s="4">
        <v>56.7</v>
      </c>
      <c r="C24" s="4">
        <v>72</v>
      </c>
      <c r="D24" s="4">
        <v>103.1</v>
      </c>
      <c r="E24" s="4">
        <v>174.6</v>
      </c>
      <c r="F24" s="4">
        <v>354.6</v>
      </c>
      <c r="G24" s="4">
        <v>441.6</v>
      </c>
      <c r="H24" s="4">
        <v>394.5</v>
      </c>
      <c r="I24" s="4">
        <v>422.9</v>
      </c>
      <c r="J24" s="4">
        <v>192.1</v>
      </c>
      <c r="K24" s="4">
        <v>50.3</v>
      </c>
      <c r="L24" s="4">
        <v>38.4</v>
      </c>
      <c r="M24" s="4">
        <v>42.2</v>
      </c>
      <c r="N24" s="2">
        <f>MEDIAN($B24:$M24)</f>
        <v>138.85</v>
      </c>
    </row>
    <row r="25" spans="1:14" x14ac:dyDescent="0.25">
      <c r="A25" s="3" t="s">
        <v>35</v>
      </c>
      <c r="B25" s="4">
        <v>33.1</v>
      </c>
      <c r="C25" s="4">
        <v>40.700000000000003</v>
      </c>
      <c r="D25" s="4">
        <v>36.5</v>
      </c>
      <c r="E25" s="4">
        <v>64.8</v>
      </c>
      <c r="F25" s="4">
        <v>138.30000000000001</v>
      </c>
      <c r="G25" s="4">
        <v>201.9</v>
      </c>
      <c r="H25" s="4">
        <v>250.2</v>
      </c>
      <c r="I25" s="4">
        <v>316.39999999999998</v>
      </c>
      <c r="J25" s="4">
        <v>295.60000000000002</v>
      </c>
      <c r="K25" s="4">
        <v>215</v>
      </c>
      <c r="L25" s="4">
        <v>99.3</v>
      </c>
      <c r="M25" s="4">
        <v>45.8</v>
      </c>
      <c r="N25" s="2">
        <f>MEDIAN($B25:$M25)</f>
        <v>118.80000000000001</v>
      </c>
    </row>
    <row r="26" spans="1:14" x14ac:dyDescent="0.25">
      <c r="A26" s="3" t="s">
        <v>36</v>
      </c>
      <c r="B26" s="4">
        <v>32</v>
      </c>
      <c r="C26" s="4">
        <v>60.4</v>
      </c>
      <c r="D26" s="4">
        <v>81.5</v>
      </c>
      <c r="E26" s="4">
        <v>106.7</v>
      </c>
      <c r="F26" s="4">
        <v>202.2</v>
      </c>
      <c r="G26" s="4">
        <v>208.1</v>
      </c>
      <c r="H26" s="4">
        <v>183.5</v>
      </c>
      <c r="I26" s="4">
        <v>242.3</v>
      </c>
      <c r="J26" s="4">
        <v>91</v>
      </c>
      <c r="K26" s="4">
        <v>20.3</v>
      </c>
      <c r="L26" s="4">
        <v>23.1</v>
      </c>
      <c r="M26" s="4">
        <v>33.1</v>
      </c>
      <c r="N26" s="2">
        <f>MEDIAN($B26:$M26)</f>
        <v>86.25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SpinButton1">
          <controlPr defaultSize="0" autoLine="0" r:id="rId5">
            <anchor moveWithCells="1">
              <from>
                <xdr:col>14</xdr:col>
                <xdr:colOff>28575</xdr:colOff>
                <xdr:row>0</xdr:row>
                <xdr:rowOff>28575</xdr:rowOff>
              </from>
              <to>
                <xdr:col>14</xdr:col>
                <xdr:colOff>466725</xdr:colOff>
                <xdr:row>1</xdr:row>
                <xdr:rowOff>9525</xdr:rowOff>
              </to>
            </anchor>
          </controlPr>
        </control>
      </mc:Choice>
      <mc:Fallback>
        <control shapeId="1025" r:id="rId4" name="Spin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Windows 使用者</cp:lastModifiedBy>
  <dcterms:created xsi:type="dcterms:W3CDTF">2021-07-03T10:19:59Z</dcterms:created>
  <dcterms:modified xsi:type="dcterms:W3CDTF">2021-09-12T07:46:05Z</dcterms:modified>
</cp:coreProperties>
</file>